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lipe\Desktop\accidentes escolares\"/>
    </mc:Choice>
  </mc:AlternateContent>
  <bookViews>
    <workbookView xWindow="0" yWindow="0" windowWidth="20490" windowHeight="7530" activeTab="4"/>
  </bookViews>
  <sheets>
    <sheet name="Instrucciones" sheetId="1" r:id="rId1"/>
    <sheet name="Base_Estudiantes" sheetId="2" r:id="rId2"/>
    <sheet name="Listas" sheetId="3" state="hidden" r:id="rId3"/>
    <sheet name="Formulario" sheetId="4" r:id="rId4"/>
    <sheet name="Registro_Accidentes" sheetId="5" r:id="rId5"/>
    <sheet name="Resumen" sheetId="6" r:id="rId6"/>
    <sheet name="Estadísticas" sheetId="7" r:id="rId7"/>
    <sheet name="Ficha_Imprimible" sheetId="8" r:id="rId8"/>
    <sheet name="Macro_VBA" sheetId="9" r:id="rId9"/>
  </sheets>
  <definedNames>
    <definedName name="_xlnm._FilterDatabase" localSheetId="1" hidden="1">Base_Estudiantes!$A$3:$J$505</definedName>
    <definedName name="_xlnm._FilterDatabase" localSheetId="4" hidden="1">Registro_Accidentes!$A$3:$T$605</definedName>
    <definedName name="ListaLesiones">Listas!$A$2:$A$9</definedName>
    <definedName name="ListaLugares">Listas!$C$2:$C$9</definedName>
    <definedName name="ListaRUTs">Base_Estudiantes!$C$4:$C$505</definedName>
    <definedName name="ListaSiNo">Listas!$B$2:$B$3</definedName>
  </definedNames>
  <calcPr calcId="162913"/>
  <extLst>
    <ext uri="GoogleSheetsCustomDataVersion2">
      <go:sheetsCustomData xmlns:go="http://customooxmlschemas.google.com/" r:id="rId14" roundtripDataChecksum="FSJbUcgQ5Wb5f731RRphjhaIB9CF3i3LbasmDm/koJU="/>
    </ext>
  </extLst>
</workbook>
</file>

<file path=xl/calcChain.xml><?xml version="1.0" encoding="utf-8"?>
<calcChain xmlns="http://schemas.openxmlformats.org/spreadsheetml/2006/main">
  <c r="A4" i="5" l="1"/>
  <c r="E4" i="5" a="1"/>
  <c r="E4" i="5" s="1"/>
  <c r="F4" i="5" a="1"/>
  <c r="F4" i="5" s="1"/>
  <c r="G4" i="5" a="1"/>
  <c r="G4" i="5" s="1"/>
  <c r="I4" i="5" a="1"/>
  <c r="I4" i="5" s="1"/>
  <c r="J4" i="5" a="1"/>
  <c r="J4" i="5" s="1"/>
  <c r="E12" i="7" l="1"/>
  <c r="E11" i="7"/>
  <c r="E10" i="7"/>
  <c r="E9" i="7"/>
  <c r="E8" i="7"/>
  <c r="E7" i="7"/>
  <c r="H6" i="7"/>
  <c r="E6" i="7"/>
  <c r="E5" i="7"/>
  <c r="B6" i="6"/>
  <c r="B5" i="6"/>
  <c r="B4" i="6"/>
  <c r="B3" i="6"/>
  <c r="J605" i="5" a="1"/>
  <c r="J605" i="5" s="1"/>
  <c r="I605" i="5" a="1"/>
  <c r="I605" i="5"/>
  <c r="H605" i="5" a="1"/>
  <c r="H605" i="5" s="1"/>
  <c r="G605" i="5" a="1"/>
  <c r="G605" i="5" s="1"/>
  <c r="F605" i="5" a="1"/>
  <c r="F605" i="5" s="1"/>
  <c r="E605" i="5" a="1"/>
  <c r="E605" i="5" s="1"/>
  <c r="A605" i="5"/>
  <c r="J604" i="5" a="1"/>
  <c r="J604" i="5"/>
  <c r="I604" i="5" a="1"/>
  <c r="I604" i="5"/>
  <c r="H604" i="5" a="1"/>
  <c r="H604" i="5"/>
  <c r="G604" i="5" a="1"/>
  <c r="G604" i="5"/>
  <c r="F604" i="5" a="1"/>
  <c r="F604" i="5"/>
  <c r="E604" i="5" a="1"/>
  <c r="E604" i="5"/>
  <c r="A604" i="5"/>
  <c r="J603" i="5" a="1"/>
  <c r="J603" i="5"/>
  <c r="I603" i="5" a="1"/>
  <c r="I603" i="5" s="1"/>
  <c r="H603" i="5" a="1"/>
  <c r="H603" i="5" s="1"/>
  <c r="G603" i="5" a="1"/>
  <c r="G603" i="5" s="1"/>
  <c r="F603" i="5" a="1"/>
  <c r="F603" i="5" s="1"/>
  <c r="E603" i="5" a="1"/>
  <c r="E603" i="5" s="1"/>
  <c r="A603" i="5"/>
  <c r="J602" i="5" a="1"/>
  <c r="J602" i="5"/>
  <c r="I602" i="5" a="1"/>
  <c r="I602" i="5"/>
  <c r="H602" i="5" a="1"/>
  <c r="H602" i="5"/>
  <c r="G602" i="5" a="1"/>
  <c r="G602" i="5"/>
  <c r="F602" i="5" a="1"/>
  <c r="F602" i="5"/>
  <c r="E602" i="5" a="1"/>
  <c r="E602" i="5" s="1"/>
  <c r="A602" i="5"/>
  <c r="J601" i="5" a="1"/>
  <c r="J601" i="5" s="1"/>
  <c r="I601" i="5" a="1"/>
  <c r="I601" i="5"/>
  <c r="H601" i="5" a="1"/>
  <c r="H601" i="5" s="1"/>
  <c r="G601" i="5" a="1"/>
  <c r="G601" i="5" s="1"/>
  <c r="F601" i="5" a="1"/>
  <c r="F601" i="5" s="1"/>
  <c r="E601" i="5" a="1"/>
  <c r="E601" i="5" s="1"/>
  <c r="A601" i="5"/>
  <c r="J600" i="5" a="1"/>
  <c r="J600" i="5"/>
  <c r="I600" i="5" a="1"/>
  <c r="I600" i="5"/>
  <c r="H600" i="5" a="1"/>
  <c r="H600" i="5"/>
  <c r="G600" i="5" a="1"/>
  <c r="G600" i="5"/>
  <c r="F600" i="5" a="1"/>
  <c r="F600" i="5" s="1"/>
  <c r="E600" i="5" a="1"/>
  <c r="E600" i="5"/>
  <c r="A600" i="5"/>
  <c r="J599" i="5" a="1"/>
  <c r="J599" i="5"/>
  <c r="I599" i="5" a="1"/>
  <c r="I599" i="5" s="1"/>
  <c r="H599" i="5" a="1"/>
  <c r="H599" i="5" s="1"/>
  <c r="G599" i="5" a="1"/>
  <c r="G599" i="5" s="1"/>
  <c r="F599" i="5" a="1"/>
  <c r="F599" i="5" s="1"/>
  <c r="E599" i="5" a="1"/>
  <c r="E599" i="5" s="1"/>
  <c r="A599" i="5"/>
  <c r="J598" i="5" a="1"/>
  <c r="J598" i="5"/>
  <c r="I598" i="5" a="1"/>
  <c r="I598" i="5"/>
  <c r="H598" i="5" a="1"/>
  <c r="H598" i="5"/>
  <c r="G598" i="5" a="1"/>
  <c r="G598" i="5"/>
  <c r="F598" i="5" a="1"/>
  <c r="F598" i="5"/>
  <c r="E598" i="5" a="1"/>
  <c r="E598" i="5" s="1"/>
  <c r="A598" i="5"/>
  <c r="J597" i="5" a="1"/>
  <c r="J597" i="5" s="1"/>
  <c r="I597" i="5" a="1"/>
  <c r="I597" i="5"/>
  <c r="H597" i="5" a="1"/>
  <c r="H597" i="5" s="1"/>
  <c r="G597" i="5" a="1"/>
  <c r="G597" i="5" s="1"/>
  <c r="F597" i="5" a="1"/>
  <c r="F597" i="5" s="1"/>
  <c r="E597" i="5" a="1"/>
  <c r="E597" i="5" s="1"/>
  <c r="A597" i="5"/>
  <c r="J596" i="5" a="1"/>
  <c r="J596" i="5"/>
  <c r="I596" i="5" a="1"/>
  <c r="I596" i="5"/>
  <c r="H596" i="5" a="1"/>
  <c r="H596" i="5"/>
  <c r="G596" i="5" a="1"/>
  <c r="G596" i="5"/>
  <c r="F596" i="5" a="1"/>
  <c r="F596" i="5" s="1"/>
  <c r="E596" i="5" a="1"/>
  <c r="E596" i="5"/>
  <c r="A596" i="5"/>
  <c r="J595" i="5" a="1"/>
  <c r="J595" i="5"/>
  <c r="I595" i="5" a="1"/>
  <c r="I595" i="5" s="1"/>
  <c r="H595" i="5" a="1"/>
  <c r="H595" i="5" s="1"/>
  <c r="G595" i="5" a="1"/>
  <c r="G595" i="5" s="1"/>
  <c r="F595" i="5" a="1"/>
  <c r="F595" i="5" s="1"/>
  <c r="E595" i="5" a="1"/>
  <c r="E595" i="5" s="1"/>
  <c r="A595" i="5"/>
  <c r="J594" i="5" a="1"/>
  <c r="J594" i="5"/>
  <c r="I594" i="5" a="1"/>
  <c r="I594" i="5"/>
  <c r="H594" i="5" a="1"/>
  <c r="H594" i="5"/>
  <c r="G594" i="5" a="1"/>
  <c r="G594" i="5"/>
  <c r="F594" i="5" a="1"/>
  <c r="F594" i="5"/>
  <c r="E594" i="5" a="1"/>
  <c r="E594" i="5" s="1"/>
  <c r="A594" i="5"/>
  <c r="J593" i="5" a="1"/>
  <c r="J593" i="5" s="1"/>
  <c r="I593" i="5" a="1"/>
  <c r="I593" i="5"/>
  <c r="H593" i="5" a="1"/>
  <c r="H593" i="5" s="1"/>
  <c r="G593" i="5" a="1"/>
  <c r="G593" i="5" s="1"/>
  <c r="F593" i="5" a="1"/>
  <c r="F593" i="5" s="1"/>
  <c r="E593" i="5" a="1"/>
  <c r="E593" i="5" s="1"/>
  <c r="A593" i="5"/>
  <c r="J592" i="5" a="1"/>
  <c r="J592" i="5"/>
  <c r="I592" i="5" a="1"/>
  <c r="I592" i="5"/>
  <c r="H592" i="5" a="1"/>
  <c r="H592" i="5"/>
  <c r="G592" i="5" a="1"/>
  <c r="G592" i="5"/>
  <c r="F592" i="5" a="1"/>
  <c r="F592" i="5" s="1"/>
  <c r="E592" i="5" a="1"/>
  <c r="E592" i="5"/>
  <c r="A592" i="5"/>
  <c r="J591" i="5" a="1"/>
  <c r="J591" i="5"/>
  <c r="I591" i="5" a="1"/>
  <c r="I591" i="5" s="1"/>
  <c r="H591" i="5" a="1"/>
  <c r="H591" i="5" s="1"/>
  <c r="G591" i="5" a="1"/>
  <c r="G591" i="5" s="1"/>
  <c r="F591" i="5" a="1"/>
  <c r="F591" i="5" s="1"/>
  <c r="E591" i="5" a="1"/>
  <c r="E591" i="5" s="1"/>
  <c r="A591" i="5"/>
  <c r="J590" i="5" a="1"/>
  <c r="J590" i="5"/>
  <c r="I590" i="5" a="1"/>
  <c r="I590" i="5"/>
  <c r="H590" i="5" a="1"/>
  <c r="H590" i="5"/>
  <c r="G590" i="5" a="1"/>
  <c r="G590" i="5"/>
  <c r="F590" i="5" a="1"/>
  <c r="F590" i="5"/>
  <c r="E590" i="5" a="1"/>
  <c r="E590" i="5" s="1"/>
  <c r="A590" i="5"/>
  <c r="J589" i="5" a="1"/>
  <c r="J589" i="5" s="1"/>
  <c r="I589" i="5" a="1"/>
  <c r="I589" i="5"/>
  <c r="H589" i="5" a="1"/>
  <c r="H589" i="5" s="1"/>
  <c r="G589" i="5" a="1"/>
  <c r="G589" i="5" s="1"/>
  <c r="F589" i="5" a="1"/>
  <c r="F589" i="5" s="1"/>
  <c r="E589" i="5" a="1"/>
  <c r="E589" i="5" s="1"/>
  <c r="A589" i="5"/>
  <c r="J588" i="5" a="1"/>
  <c r="J588" i="5"/>
  <c r="I588" i="5" a="1"/>
  <c r="I588" i="5"/>
  <c r="H588" i="5" a="1"/>
  <c r="H588" i="5"/>
  <c r="G588" i="5" a="1"/>
  <c r="G588" i="5"/>
  <c r="F588" i="5" a="1"/>
  <c r="F588" i="5" s="1"/>
  <c r="E588" i="5" a="1"/>
  <c r="E588" i="5"/>
  <c r="A588" i="5"/>
  <c r="J587" i="5" a="1"/>
  <c r="J587" i="5"/>
  <c r="I587" i="5" a="1"/>
  <c r="I587" i="5" s="1"/>
  <c r="H587" i="5" a="1"/>
  <c r="H587" i="5" s="1"/>
  <c r="G587" i="5" a="1"/>
  <c r="G587" i="5" s="1"/>
  <c r="F587" i="5" a="1"/>
  <c r="F587" i="5" s="1"/>
  <c r="E587" i="5" a="1"/>
  <c r="E587" i="5" s="1"/>
  <c r="A587" i="5"/>
  <c r="J586" i="5" a="1"/>
  <c r="J586" i="5"/>
  <c r="I586" i="5" a="1"/>
  <c r="I586" i="5"/>
  <c r="H586" i="5" a="1"/>
  <c r="H586" i="5"/>
  <c r="G586" i="5" a="1"/>
  <c r="G586" i="5"/>
  <c r="F586" i="5" a="1"/>
  <c r="F586" i="5"/>
  <c r="E586" i="5" a="1"/>
  <c r="E586" i="5" s="1"/>
  <c r="A586" i="5"/>
  <c r="J585" i="5" a="1"/>
  <c r="J585" i="5" s="1"/>
  <c r="I585" i="5" a="1"/>
  <c r="I585" i="5"/>
  <c r="H585" i="5" a="1"/>
  <c r="H585" i="5" s="1"/>
  <c r="G585" i="5" a="1"/>
  <c r="G585" i="5" s="1"/>
  <c r="F585" i="5" a="1"/>
  <c r="F585" i="5" s="1"/>
  <c r="E585" i="5" a="1"/>
  <c r="E585" i="5" s="1"/>
  <c r="A585" i="5"/>
  <c r="J584" i="5" a="1"/>
  <c r="J584" i="5"/>
  <c r="I584" i="5" a="1"/>
  <c r="I584" i="5"/>
  <c r="H584" i="5" a="1"/>
  <c r="H584" i="5"/>
  <c r="G584" i="5" a="1"/>
  <c r="G584" i="5"/>
  <c r="F584" i="5" a="1"/>
  <c r="F584" i="5"/>
  <c r="E584" i="5" a="1"/>
  <c r="E584" i="5"/>
  <c r="A584" i="5"/>
  <c r="J583" i="5" a="1"/>
  <c r="J583" i="5" s="1"/>
  <c r="I583" i="5" a="1"/>
  <c r="I583" i="5" s="1"/>
  <c r="H583" i="5" a="1"/>
  <c r="H583" i="5" s="1"/>
  <c r="G583" i="5" a="1"/>
  <c r="G583" i="5" s="1"/>
  <c r="F583" i="5" a="1"/>
  <c r="F583" i="5" s="1"/>
  <c r="E583" i="5" a="1"/>
  <c r="E583" i="5" s="1"/>
  <c r="A583" i="5"/>
  <c r="J582" i="5" a="1"/>
  <c r="J582" i="5"/>
  <c r="I582" i="5" a="1"/>
  <c r="I582" i="5"/>
  <c r="H582" i="5" a="1"/>
  <c r="H582" i="5"/>
  <c r="G582" i="5" a="1"/>
  <c r="G582" i="5"/>
  <c r="F582" i="5" a="1"/>
  <c r="F582" i="5"/>
  <c r="E582" i="5" a="1"/>
  <c r="E582" i="5"/>
  <c r="A582" i="5"/>
  <c r="J581" i="5" a="1"/>
  <c r="J581" i="5" s="1"/>
  <c r="I581" i="5" a="1"/>
  <c r="I581" i="5"/>
  <c r="H581" i="5" a="1"/>
  <c r="H581" i="5" s="1"/>
  <c r="G581" i="5" a="1"/>
  <c r="G581" i="5" s="1"/>
  <c r="F581" i="5" a="1"/>
  <c r="F581" i="5" s="1"/>
  <c r="E581" i="5" a="1"/>
  <c r="E581" i="5" s="1"/>
  <c r="A581" i="5"/>
  <c r="J580" i="5" a="1"/>
  <c r="J580" i="5"/>
  <c r="I580" i="5" a="1"/>
  <c r="I580" i="5"/>
  <c r="H580" i="5" a="1"/>
  <c r="H580" i="5"/>
  <c r="G580" i="5" a="1"/>
  <c r="G580" i="5"/>
  <c r="F580" i="5" a="1"/>
  <c r="F580" i="5"/>
  <c r="E580" i="5" a="1"/>
  <c r="E580" i="5"/>
  <c r="A580" i="5"/>
  <c r="J579" i="5" a="1"/>
  <c r="J579" i="5"/>
  <c r="I579" i="5" a="1"/>
  <c r="I579" i="5" s="1"/>
  <c r="H579" i="5" a="1"/>
  <c r="H579" i="5" s="1"/>
  <c r="G579" i="5" a="1"/>
  <c r="G579" i="5" s="1"/>
  <c r="F579" i="5" a="1"/>
  <c r="F579" i="5" s="1"/>
  <c r="E579" i="5" a="1"/>
  <c r="E579" i="5" s="1"/>
  <c r="A579" i="5"/>
  <c r="J578" i="5" a="1"/>
  <c r="J578" i="5"/>
  <c r="I578" i="5" a="1"/>
  <c r="I578" i="5"/>
  <c r="H578" i="5" a="1"/>
  <c r="H578" i="5"/>
  <c r="G578" i="5" a="1"/>
  <c r="G578" i="5"/>
  <c r="F578" i="5" a="1"/>
  <c r="F578" i="5"/>
  <c r="E578" i="5" a="1"/>
  <c r="E578" i="5"/>
  <c r="A578" i="5"/>
  <c r="J577" i="5" a="1"/>
  <c r="J577" i="5" s="1"/>
  <c r="I577" i="5" a="1"/>
  <c r="I577" i="5"/>
  <c r="H577" i="5" a="1"/>
  <c r="H577" i="5" s="1"/>
  <c r="G577" i="5" a="1"/>
  <c r="G577" i="5" s="1"/>
  <c r="F577" i="5" a="1"/>
  <c r="F577" i="5" s="1"/>
  <c r="E577" i="5" a="1"/>
  <c r="E577" i="5" s="1"/>
  <c r="A577" i="5"/>
  <c r="J576" i="5" a="1"/>
  <c r="J576" i="5"/>
  <c r="I576" i="5" a="1"/>
  <c r="I576" i="5"/>
  <c r="H576" i="5" a="1"/>
  <c r="H576" i="5"/>
  <c r="G576" i="5" a="1"/>
  <c r="G576" i="5"/>
  <c r="F576" i="5" a="1"/>
  <c r="F576" i="5"/>
  <c r="E576" i="5" a="1"/>
  <c r="E576" i="5"/>
  <c r="A576" i="5"/>
  <c r="J575" i="5" a="1"/>
  <c r="J575" i="5"/>
  <c r="I575" i="5" a="1"/>
  <c r="I575" i="5" s="1"/>
  <c r="H575" i="5" a="1"/>
  <c r="H575" i="5" s="1"/>
  <c r="G575" i="5" a="1"/>
  <c r="G575" i="5" s="1"/>
  <c r="F575" i="5" a="1"/>
  <c r="F575" i="5" s="1"/>
  <c r="E575" i="5" a="1"/>
  <c r="E575" i="5" s="1"/>
  <c r="A575" i="5"/>
  <c r="J574" i="5" a="1"/>
  <c r="J574" i="5"/>
  <c r="I574" i="5" a="1"/>
  <c r="I574" i="5"/>
  <c r="H574" i="5" a="1"/>
  <c r="H574" i="5"/>
  <c r="G574" i="5" a="1"/>
  <c r="G574" i="5"/>
  <c r="F574" i="5" a="1"/>
  <c r="F574" i="5"/>
  <c r="E574" i="5" a="1"/>
  <c r="E574" i="5" s="1"/>
  <c r="A574" i="5"/>
  <c r="J573" i="5" a="1"/>
  <c r="J573" i="5" s="1"/>
  <c r="I573" i="5" a="1"/>
  <c r="I573" i="5"/>
  <c r="H573" i="5" a="1"/>
  <c r="H573" i="5" s="1"/>
  <c r="G573" i="5" a="1"/>
  <c r="G573" i="5" s="1"/>
  <c r="F573" i="5" a="1"/>
  <c r="F573" i="5" s="1"/>
  <c r="E573" i="5" a="1"/>
  <c r="E573" i="5" s="1"/>
  <c r="A573" i="5"/>
  <c r="J572" i="5" a="1"/>
  <c r="J572" i="5"/>
  <c r="I572" i="5" a="1"/>
  <c r="I572" i="5"/>
  <c r="H572" i="5" a="1"/>
  <c r="H572" i="5"/>
  <c r="G572" i="5" a="1"/>
  <c r="G572" i="5"/>
  <c r="F572" i="5" a="1"/>
  <c r="F572" i="5" s="1"/>
  <c r="E572" i="5" a="1"/>
  <c r="E572" i="5"/>
  <c r="A572" i="5"/>
  <c r="J571" i="5" a="1"/>
  <c r="J571" i="5"/>
  <c r="I571" i="5" a="1"/>
  <c r="I571" i="5" s="1"/>
  <c r="H571" i="5" a="1"/>
  <c r="H571" i="5" s="1"/>
  <c r="G571" i="5" a="1"/>
  <c r="G571" i="5" s="1"/>
  <c r="F571" i="5" a="1"/>
  <c r="F571" i="5" s="1"/>
  <c r="E571" i="5" a="1"/>
  <c r="E571" i="5" s="1"/>
  <c r="A571" i="5"/>
  <c r="J570" i="5" a="1"/>
  <c r="J570" i="5"/>
  <c r="I570" i="5" a="1"/>
  <c r="I570" i="5"/>
  <c r="H570" i="5" a="1"/>
  <c r="H570" i="5"/>
  <c r="G570" i="5" a="1"/>
  <c r="G570" i="5"/>
  <c r="F570" i="5" a="1"/>
  <c r="F570" i="5"/>
  <c r="E570" i="5" a="1"/>
  <c r="E570" i="5" s="1"/>
  <c r="A570" i="5"/>
  <c r="J569" i="5" a="1"/>
  <c r="J569" i="5" s="1"/>
  <c r="I569" i="5" a="1"/>
  <c r="I569" i="5"/>
  <c r="H569" i="5" a="1"/>
  <c r="H569" i="5" s="1"/>
  <c r="G569" i="5" a="1"/>
  <c r="G569" i="5" s="1"/>
  <c r="F569" i="5" a="1"/>
  <c r="F569" i="5" s="1"/>
  <c r="E569" i="5" a="1"/>
  <c r="E569" i="5" s="1"/>
  <c r="A569" i="5"/>
  <c r="J568" i="5" a="1"/>
  <c r="J568" i="5"/>
  <c r="I568" i="5" a="1"/>
  <c r="I568" i="5"/>
  <c r="H568" i="5" a="1"/>
  <c r="H568" i="5"/>
  <c r="G568" i="5" a="1"/>
  <c r="G568" i="5"/>
  <c r="F568" i="5" a="1"/>
  <c r="F568" i="5" s="1"/>
  <c r="E568" i="5" a="1"/>
  <c r="E568" i="5"/>
  <c r="A568" i="5"/>
  <c r="J567" i="5" a="1"/>
  <c r="J567" i="5"/>
  <c r="I567" i="5" a="1"/>
  <c r="I567" i="5" s="1"/>
  <c r="H567" i="5" a="1"/>
  <c r="H567" i="5"/>
  <c r="G567" i="5" a="1"/>
  <c r="G567" i="5" s="1"/>
  <c r="F567" i="5" a="1"/>
  <c r="F567" i="5" s="1"/>
  <c r="E567" i="5" a="1"/>
  <c r="E567" i="5" s="1"/>
  <c r="A567" i="5"/>
  <c r="J566" i="5" a="1"/>
  <c r="J566" i="5"/>
  <c r="I566" i="5" a="1"/>
  <c r="I566" i="5"/>
  <c r="H566" i="5" a="1"/>
  <c r="H566" i="5"/>
  <c r="G566" i="5" a="1"/>
  <c r="G566" i="5"/>
  <c r="F566" i="5" a="1"/>
  <c r="F566" i="5"/>
  <c r="E566" i="5" a="1"/>
  <c r="E566" i="5" s="1"/>
  <c r="A566" i="5"/>
  <c r="J565" i="5" a="1"/>
  <c r="J565" i="5" s="1"/>
  <c r="I565" i="5" a="1"/>
  <c r="I565" i="5"/>
  <c r="H565" i="5" a="1"/>
  <c r="H565" i="5" s="1"/>
  <c r="G565" i="5" a="1"/>
  <c r="G565" i="5"/>
  <c r="F565" i="5" a="1"/>
  <c r="F565" i="5" s="1"/>
  <c r="E565" i="5" a="1"/>
  <c r="E565" i="5" s="1"/>
  <c r="A565" i="5"/>
  <c r="J564" i="5" a="1"/>
  <c r="J564" i="5"/>
  <c r="I564" i="5" a="1"/>
  <c r="I564" i="5"/>
  <c r="H564" i="5" a="1"/>
  <c r="H564" i="5"/>
  <c r="G564" i="5" a="1"/>
  <c r="G564" i="5"/>
  <c r="F564" i="5" a="1"/>
  <c r="F564" i="5" s="1"/>
  <c r="E564" i="5" a="1"/>
  <c r="E564" i="5"/>
  <c r="A564" i="5"/>
  <c r="J563" i="5" a="1"/>
  <c r="J563" i="5"/>
  <c r="I563" i="5" a="1"/>
  <c r="I563" i="5" s="1"/>
  <c r="H563" i="5" a="1"/>
  <c r="H563" i="5"/>
  <c r="G563" i="5" a="1"/>
  <c r="G563" i="5" s="1"/>
  <c r="F563" i="5" a="1"/>
  <c r="F563" i="5" s="1"/>
  <c r="E563" i="5" a="1"/>
  <c r="E563" i="5" s="1"/>
  <c r="A563" i="5"/>
  <c r="J562" i="5" a="1"/>
  <c r="J562" i="5"/>
  <c r="I562" i="5" a="1"/>
  <c r="I562" i="5"/>
  <c r="H562" i="5" a="1"/>
  <c r="H562" i="5"/>
  <c r="G562" i="5" a="1"/>
  <c r="G562" i="5"/>
  <c r="F562" i="5" a="1"/>
  <c r="F562" i="5"/>
  <c r="E562" i="5" a="1"/>
  <c r="E562" i="5" s="1"/>
  <c r="A562" i="5"/>
  <c r="J561" i="5" a="1"/>
  <c r="J561" i="5" s="1"/>
  <c r="I561" i="5" a="1"/>
  <c r="I561" i="5"/>
  <c r="H561" i="5" a="1"/>
  <c r="H561" i="5" s="1"/>
  <c r="G561" i="5" a="1"/>
  <c r="G561" i="5"/>
  <c r="F561" i="5" a="1"/>
  <c r="F561" i="5" s="1"/>
  <c r="E561" i="5" a="1"/>
  <c r="E561" i="5"/>
  <c r="A561" i="5"/>
  <c r="J560" i="5" a="1"/>
  <c r="J560" i="5"/>
  <c r="I560" i="5" a="1"/>
  <c r="I560" i="5"/>
  <c r="H560" i="5" a="1"/>
  <c r="H560" i="5"/>
  <c r="G560" i="5" a="1"/>
  <c r="G560" i="5"/>
  <c r="F560" i="5" a="1"/>
  <c r="F560" i="5" s="1"/>
  <c r="E560" i="5" a="1"/>
  <c r="E560" i="5" s="1"/>
  <c r="A560" i="5"/>
  <c r="J559" i="5" a="1"/>
  <c r="J559" i="5"/>
  <c r="I559" i="5" a="1"/>
  <c r="I559" i="5" s="1"/>
  <c r="H559" i="5" a="1"/>
  <c r="H559" i="5" s="1"/>
  <c r="G559" i="5" a="1"/>
  <c r="G559" i="5" s="1"/>
  <c r="F559" i="5" a="1"/>
  <c r="F559" i="5"/>
  <c r="E559" i="5" a="1"/>
  <c r="E559" i="5"/>
  <c r="A559" i="5"/>
  <c r="J558" i="5" a="1"/>
  <c r="J558" i="5" s="1"/>
  <c r="I558" i="5" a="1"/>
  <c r="I558" i="5" s="1"/>
  <c r="H558" i="5" a="1"/>
  <c r="H558" i="5" s="1"/>
  <c r="G558" i="5" a="1"/>
  <c r="G558" i="5" s="1"/>
  <c r="F558" i="5" a="1"/>
  <c r="F558" i="5" s="1"/>
  <c r="E558" i="5" a="1"/>
  <c r="E558" i="5" s="1"/>
  <c r="A558" i="5"/>
  <c r="J557" i="5" a="1"/>
  <c r="J557" i="5"/>
  <c r="I557" i="5" a="1"/>
  <c r="I557" i="5"/>
  <c r="H557" i="5" a="1"/>
  <c r="H557" i="5"/>
  <c r="G557" i="5" a="1"/>
  <c r="G557" i="5"/>
  <c r="F557" i="5" a="1"/>
  <c r="F557" i="5"/>
  <c r="E557" i="5" a="1"/>
  <c r="E557" i="5"/>
  <c r="A557" i="5"/>
  <c r="J556" i="5" a="1"/>
  <c r="J556" i="5" s="1"/>
  <c r="I556" i="5" a="1"/>
  <c r="I556" i="5" s="1"/>
  <c r="H556" i="5" a="1"/>
  <c r="H556" i="5" s="1"/>
  <c r="G556" i="5" a="1"/>
  <c r="G556" i="5" s="1"/>
  <c r="F556" i="5" a="1"/>
  <c r="F556" i="5" s="1"/>
  <c r="E556" i="5" a="1"/>
  <c r="E556" i="5" s="1"/>
  <c r="A556" i="5"/>
  <c r="J555" i="5" a="1"/>
  <c r="J555" i="5"/>
  <c r="I555" i="5" a="1"/>
  <c r="I555" i="5"/>
  <c r="H555" i="5" a="1"/>
  <c r="H555" i="5"/>
  <c r="G555" i="5" a="1"/>
  <c r="G555" i="5"/>
  <c r="F555" i="5" a="1"/>
  <c r="F555" i="5"/>
  <c r="E555" i="5" a="1"/>
  <c r="E555" i="5"/>
  <c r="A555" i="5"/>
  <c r="J554" i="5" a="1"/>
  <c r="J554" i="5" s="1"/>
  <c r="I554" i="5" a="1"/>
  <c r="I554" i="5" s="1"/>
  <c r="H554" i="5" a="1"/>
  <c r="H554" i="5" s="1"/>
  <c r="G554" i="5" a="1"/>
  <c r="G554" i="5" s="1"/>
  <c r="F554" i="5" a="1"/>
  <c r="F554" i="5" s="1"/>
  <c r="E554" i="5" a="1"/>
  <c r="E554" i="5" s="1"/>
  <c r="A554" i="5"/>
  <c r="J553" i="5" a="1"/>
  <c r="J553" i="5"/>
  <c r="I553" i="5" a="1"/>
  <c r="I553" i="5"/>
  <c r="H553" i="5" a="1"/>
  <c r="H553" i="5"/>
  <c r="G553" i="5" a="1"/>
  <c r="G553" i="5"/>
  <c r="F553" i="5" a="1"/>
  <c r="F553" i="5"/>
  <c r="E553" i="5" a="1"/>
  <c r="E553" i="5"/>
  <c r="A553" i="5"/>
  <c r="J552" i="5" a="1"/>
  <c r="J552" i="5" s="1"/>
  <c r="I552" i="5" a="1"/>
  <c r="I552" i="5" s="1"/>
  <c r="H552" i="5" a="1"/>
  <c r="H552" i="5" s="1"/>
  <c r="G552" i="5" a="1"/>
  <c r="G552" i="5" s="1"/>
  <c r="F552" i="5" a="1"/>
  <c r="F552" i="5" s="1"/>
  <c r="E552" i="5" a="1"/>
  <c r="E552" i="5" s="1"/>
  <c r="A552" i="5"/>
  <c r="J551" i="5" a="1"/>
  <c r="J551" i="5"/>
  <c r="I551" i="5" a="1"/>
  <c r="I551" i="5"/>
  <c r="H551" i="5" a="1"/>
  <c r="H551" i="5"/>
  <c r="G551" i="5" a="1"/>
  <c r="G551" i="5"/>
  <c r="F551" i="5" a="1"/>
  <c r="F551" i="5"/>
  <c r="E551" i="5" a="1"/>
  <c r="E551" i="5"/>
  <c r="A551" i="5"/>
  <c r="J550" i="5" a="1"/>
  <c r="J550" i="5" s="1"/>
  <c r="I550" i="5" a="1"/>
  <c r="I550" i="5" s="1"/>
  <c r="H550" i="5" a="1"/>
  <c r="H550" i="5" s="1"/>
  <c r="G550" i="5" a="1"/>
  <c r="G550" i="5" s="1"/>
  <c r="F550" i="5" a="1"/>
  <c r="F550" i="5" s="1"/>
  <c r="E550" i="5" a="1"/>
  <c r="E550" i="5" s="1"/>
  <c r="A550" i="5"/>
  <c r="J549" i="5" a="1"/>
  <c r="J549" i="5"/>
  <c r="I549" i="5" a="1"/>
  <c r="I549" i="5"/>
  <c r="H549" i="5" a="1"/>
  <c r="H549" i="5"/>
  <c r="G549" i="5" a="1"/>
  <c r="G549" i="5"/>
  <c r="F549" i="5" a="1"/>
  <c r="F549" i="5"/>
  <c r="E549" i="5" a="1"/>
  <c r="E549" i="5"/>
  <c r="A549" i="5"/>
  <c r="J548" i="5" a="1"/>
  <c r="J548" i="5" s="1"/>
  <c r="I548" i="5" a="1"/>
  <c r="I548" i="5" s="1"/>
  <c r="H548" i="5" a="1"/>
  <c r="H548" i="5" s="1"/>
  <c r="G548" i="5" a="1"/>
  <c r="G548" i="5" s="1"/>
  <c r="F548" i="5" a="1"/>
  <c r="F548" i="5" s="1"/>
  <c r="E548" i="5" a="1"/>
  <c r="E548" i="5" s="1"/>
  <c r="A548" i="5"/>
  <c r="J547" i="5" a="1"/>
  <c r="J547" i="5"/>
  <c r="I547" i="5" a="1"/>
  <c r="I547" i="5"/>
  <c r="H547" i="5" a="1"/>
  <c r="H547" i="5"/>
  <c r="G547" i="5" a="1"/>
  <c r="G547" i="5"/>
  <c r="F547" i="5" a="1"/>
  <c r="F547" i="5"/>
  <c r="E547" i="5" a="1"/>
  <c r="E547" i="5"/>
  <c r="A547" i="5"/>
  <c r="J546" i="5" a="1"/>
  <c r="J546" i="5" s="1"/>
  <c r="I546" i="5" a="1"/>
  <c r="I546" i="5" s="1"/>
  <c r="H546" i="5" a="1"/>
  <c r="H546" i="5" s="1"/>
  <c r="G546" i="5" a="1"/>
  <c r="G546" i="5" s="1"/>
  <c r="F546" i="5" a="1"/>
  <c r="F546" i="5" s="1"/>
  <c r="E546" i="5" a="1"/>
  <c r="E546" i="5" s="1"/>
  <c r="A546" i="5"/>
  <c r="J545" i="5" a="1"/>
  <c r="J545" i="5"/>
  <c r="I545" i="5" a="1"/>
  <c r="I545" i="5"/>
  <c r="H545" i="5" a="1"/>
  <c r="H545" i="5"/>
  <c r="G545" i="5" a="1"/>
  <c r="G545" i="5"/>
  <c r="F545" i="5" a="1"/>
  <c r="F545" i="5"/>
  <c r="E545" i="5" a="1"/>
  <c r="E545" i="5"/>
  <c r="A545" i="5"/>
  <c r="J544" i="5" a="1"/>
  <c r="J544" i="5" s="1"/>
  <c r="I544" i="5" a="1"/>
  <c r="I544" i="5" s="1"/>
  <c r="H544" i="5" a="1"/>
  <c r="H544" i="5" s="1"/>
  <c r="G544" i="5" a="1"/>
  <c r="G544" i="5" s="1"/>
  <c r="F544" i="5" a="1"/>
  <c r="F544" i="5" s="1"/>
  <c r="E544" i="5" a="1"/>
  <c r="E544" i="5" s="1"/>
  <c r="A544" i="5"/>
  <c r="J543" i="5" a="1"/>
  <c r="J543" i="5"/>
  <c r="I543" i="5" a="1"/>
  <c r="I543" i="5"/>
  <c r="H543" i="5" a="1"/>
  <c r="H543" i="5"/>
  <c r="G543" i="5" a="1"/>
  <c r="G543" i="5"/>
  <c r="F543" i="5" a="1"/>
  <c r="F543" i="5"/>
  <c r="E543" i="5" a="1"/>
  <c r="E543" i="5"/>
  <c r="A543" i="5"/>
  <c r="J542" i="5" a="1"/>
  <c r="J542" i="5" s="1"/>
  <c r="I542" i="5" a="1"/>
  <c r="I542" i="5" s="1"/>
  <c r="H542" i="5" a="1"/>
  <c r="H542" i="5" s="1"/>
  <c r="G542" i="5" a="1"/>
  <c r="G542" i="5" s="1"/>
  <c r="F542" i="5" a="1"/>
  <c r="F542" i="5" s="1"/>
  <c r="E542" i="5" a="1"/>
  <c r="E542" i="5" s="1"/>
  <c r="A542" i="5"/>
  <c r="J541" i="5" a="1"/>
  <c r="J541" i="5"/>
  <c r="I541" i="5" a="1"/>
  <c r="I541" i="5"/>
  <c r="H541" i="5" a="1"/>
  <c r="H541" i="5"/>
  <c r="G541" i="5" a="1"/>
  <c r="G541" i="5"/>
  <c r="F541" i="5" a="1"/>
  <c r="F541" i="5"/>
  <c r="E541" i="5" a="1"/>
  <c r="E541" i="5"/>
  <c r="A541" i="5"/>
  <c r="J540" i="5" a="1"/>
  <c r="J540" i="5" s="1"/>
  <c r="I540" i="5" a="1"/>
  <c r="I540" i="5" s="1"/>
  <c r="H540" i="5" a="1"/>
  <c r="H540" i="5" s="1"/>
  <c r="G540" i="5" a="1"/>
  <c r="G540" i="5" s="1"/>
  <c r="F540" i="5" a="1"/>
  <c r="F540" i="5" s="1"/>
  <c r="E540" i="5" a="1"/>
  <c r="E540" i="5" s="1"/>
  <c r="A540" i="5"/>
  <c r="J539" i="5" a="1"/>
  <c r="J539" i="5"/>
  <c r="I539" i="5" a="1"/>
  <c r="I539" i="5"/>
  <c r="H539" i="5" a="1"/>
  <c r="H539" i="5"/>
  <c r="G539" i="5" a="1"/>
  <c r="G539" i="5"/>
  <c r="F539" i="5" a="1"/>
  <c r="F539" i="5"/>
  <c r="E539" i="5" a="1"/>
  <c r="E539" i="5"/>
  <c r="A539" i="5"/>
  <c r="J538" i="5" a="1"/>
  <c r="J538" i="5" s="1"/>
  <c r="I538" i="5" a="1"/>
  <c r="I538" i="5" s="1"/>
  <c r="H538" i="5" a="1"/>
  <c r="H538" i="5" s="1"/>
  <c r="G538" i="5" a="1"/>
  <c r="G538" i="5" s="1"/>
  <c r="F538" i="5" a="1"/>
  <c r="F538" i="5" s="1"/>
  <c r="E538" i="5" a="1"/>
  <c r="E538" i="5" s="1"/>
  <c r="A538" i="5"/>
  <c r="J537" i="5" a="1"/>
  <c r="J537" i="5"/>
  <c r="I537" i="5" a="1"/>
  <c r="I537" i="5"/>
  <c r="H537" i="5" a="1"/>
  <c r="H537" i="5"/>
  <c r="G537" i="5" a="1"/>
  <c r="G537" i="5"/>
  <c r="F537" i="5" a="1"/>
  <c r="F537" i="5"/>
  <c r="E537" i="5" a="1"/>
  <c r="E537" i="5"/>
  <c r="A537" i="5"/>
  <c r="J536" i="5" a="1"/>
  <c r="J536" i="5" s="1"/>
  <c r="I536" i="5" a="1"/>
  <c r="I536" i="5" s="1"/>
  <c r="H536" i="5" a="1"/>
  <c r="H536" i="5" s="1"/>
  <c r="G536" i="5" a="1"/>
  <c r="G536" i="5" s="1"/>
  <c r="F536" i="5" a="1"/>
  <c r="F536" i="5" s="1"/>
  <c r="E536" i="5" a="1"/>
  <c r="E536" i="5" s="1"/>
  <c r="A536" i="5"/>
  <c r="J535" i="5" a="1"/>
  <c r="J535" i="5"/>
  <c r="I535" i="5" a="1"/>
  <c r="I535" i="5"/>
  <c r="H535" i="5" a="1"/>
  <c r="H535" i="5"/>
  <c r="G535" i="5" a="1"/>
  <c r="G535" i="5"/>
  <c r="F535" i="5" a="1"/>
  <c r="F535" i="5"/>
  <c r="E535" i="5" a="1"/>
  <c r="E535" i="5"/>
  <c r="A535" i="5"/>
  <c r="J534" i="5" a="1"/>
  <c r="J534" i="5" s="1"/>
  <c r="I534" i="5" a="1"/>
  <c r="I534" i="5" s="1"/>
  <c r="H534" i="5" a="1"/>
  <c r="H534" i="5" s="1"/>
  <c r="G534" i="5" a="1"/>
  <c r="G534" i="5" s="1"/>
  <c r="F534" i="5" a="1"/>
  <c r="F534" i="5" s="1"/>
  <c r="E534" i="5" a="1"/>
  <c r="E534" i="5" s="1"/>
  <c r="A534" i="5"/>
  <c r="J533" i="5" a="1"/>
  <c r="J533" i="5"/>
  <c r="I533" i="5" a="1"/>
  <c r="I533" i="5"/>
  <c r="H533" i="5" a="1"/>
  <c r="H533" i="5"/>
  <c r="G533" i="5" a="1"/>
  <c r="G533" i="5"/>
  <c r="F533" i="5" a="1"/>
  <c r="F533" i="5"/>
  <c r="E533" i="5" a="1"/>
  <c r="E533" i="5"/>
  <c r="A533" i="5"/>
  <c r="J532" i="5" a="1"/>
  <c r="J532" i="5" s="1"/>
  <c r="I532" i="5" a="1"/>
  <c r="I532" i="5" s="1"/>
  <c r="H532" i="5" a="1"/>
  <c r="H532" i="5" s="1"/>
  <c r="G532" i="5" a="1"/>
  <c r="G532" i="5" s="1"/>
  <c r="F532" i="5" a="1"/>
  <c r="F532" i="5" s="1"/>
  <c r="E532" i="5" a="1"/>
  <c r="E532" i="5" s="1"/>
  <c r="A532" i="5"/>
  <c r="J531" i="5" a="1"/>
  <c r="J531" i="5"/>
  <c r="I531" i="5" a="1"/>
  <c r="I531" i="5"/>
  <c r="H531" i="5" a="1"/>
  <c r="H531" i="5"/>
  <c r="G531" i="5" a="1"/>
  <c r="G531" i="5"/>
  <c r="F531" i="5" a="1"/>
  <c r="F531" i="5"/>
  <c r="E531" i="5" a="1"/>
  <c r="E531" i="5"/>
  <c r="A531" i="5"/>
  <c r="J530" i="5" a="1"/>
  <c r="J530" i="5" s="1"/>
  <c r="I530" i="5" a="1"/>
  <c r="I530" i="5" s="1"/>
  <c r="H530" i="5" a="1"/>
  <c r="H530" i="5" s="1"/>
  <c r="G530" i="5" a="1"/>
  <c r="G530" i="5" s="1"/>
  <c r="F530" i="5" a="1"/>
  <c r="F530" i="5" s="1"/>
  <c r="E530" i="5" a="1"/>
  <c r="E530" i="5" s="1"/>
  <c r="A530" i="5"/>
  <c r="J529" i="5" a="1"/>
  <c r="J529" i="5"/>
  <c r="I529" i="5" a="1"/>
  <c r="I529" i="5"/>
  <c r="H529" i="5" a="1"/>
  <c r="H529" i="5"/>
  <c r="G529" i="5" a="1"/>
  <c r="G529" i="5"/>
  <c r="F529" i="5" a="1"/>
  <c r="F529" i="5"/>
  <c r="E529" i="5" a="1"/>
  <c r="E529" i="5"/>
  <c r="A529" i="5"/>
  <c r="J528" i="5" a="1"/>
  <c r="J528" i="5" s="1"/>
  <c r="I528" i="5" a="1"/>
  <c r="I528" i="5" s="1"/>
  <c r="H528" i="5" a="1"/>
  <c r="H528" i="5" s="1"/>
  <c r="G528" i="5" a="1"/>
  <c r="G528" i="5" s="1"/>
  <c r="F528" i="5" a="1"/>
  <c r="F528" i="5" s="1"/>
  <c r="E528" i="5" a="1"/>
  <c r="E528" i="5" s="1"/>
  <c r="A528" i="5"/>
  <c r="J527" i="5" a="1"/>
  <c r="J527" i="5"/>
  <c r="I527" i="5" a="1"/>
  <c r="I527" i="5"/>
  <c r="H527" i="5" a="1"/>
  <c r="H527" i="5"/>
  <c r="G527" i="5" a="1"/>
  <c r="G527" i="5"/>
  <c r="F527" i="5" a="1"/>
  <c r="F527" i="5"/>
  <c r="E527" i="5" a="1"/>
  <c r="E527" i="5"/>
  <c r="A527" i="5"/>
  <c r="J526" i="5" a="1"/>
  <c r="J526" i="5" s="1"/>
  <c r="I526" i="5" a="1"/>
  <c r="I526" i="5" s="1"/>
  <c r="H526" i="5" a="1"/>
  <c r="H526" i="5" s="1"/>
  <c r="G526" i="5" a="1"/>
  <c r="G526" i="5" s="1"/>
  <c r="F526" i="5" a="1"/>
  <c r="F526" i="5" s="1"/>
  <c r="E526" i="5" a="1"/>
  <c r="E526" i="5" s="1"/>
  <c r="A526" i="5"/>
  <c r="J525" i="5" a="1"/>
  <c r="J525" i="5"/>
  <c r="I525" i="5" a="1"/>
  <c r="I525" i="5"/>
  <c r="H525" i="5" a="1"/>
  <c r="H525" i="5"/>
  <c r="G525" i="5" a="1"/>
  <c r="G525" i="5"/>
  <c r="F525" i="5" a="1"/>
  <c r="F525" i="5"/>
  <c r="E525" i="5" a="1"/>
  <c r="E525" i="5"/>
  <c r="A525" i="5"/>
  <c r="J524" i="5" a="1"/>
  <c r="J524" i="5" s="1"/>
  <c r="I524" i="5" a="1"/>
  <c r="I524" i="5" s="1"/>
  <c r="H524" i="5" a="1"/>
  <c r="H524" i="5" s="1"/>
  <c r="G524" i="5" a="1"/>
  <c r="G524" i="5" s="1"/>
  <c r="F524" i="5" a="1"/>
  <c r="F524" i="5" s="1"/>
  <c r="E524" i="5" a="1"/>
  <c r="E524" i="5" s="1"/>
  <c r="A524" i="5"/>
  <c r="J523" i="5" a="1"/>
  <c r="J523" i="5"/>
  <c r="I523" i="5" a="1"/>
  <c r="I523" i="5"/>
  <c r="H523" i="5" a="1"/>
  <c r="H523" i="5"/>
  <c r="G523" i="5" a="1"/>
  <c r="G523" i="5"/>
  <c r="F523" i="5" a="1"/>
  <c r="F523" i="5"/>
  <c r="E523" i="5" a="1"/>
  <c r="E523" i="5"/>
  <c r="A523" i="5"/>
  <c r="J522" i="5" a="1"/>
  <c r="J522" i="5" s="1"/>
  <c r="I522" i="5" a="1"/>
  <c r="I522" i="5" s="1"/>
  <c r="H522" i="5" a="1"/>
  <c r="H522" i="5" s="1"/>
  <c r="G522" i="5" a="1"/>
  <c r="G522" i="5" s="1"/>
  <c r="F522" i="5" a="1"/>
  <c r="F522" i="5" s="1"/>
  <c r="E522" i="5" a="1"/>
  <c r="E522" i="5" s="1"/>
  <c r="A522" i="5"/>
  <c r="J521" i="5" a="1"/>
  <c r="J521" i="5"/>
  <c r="I521" i="5" a="1"/>
  <c r="I521" i="5"/>
  <c r="H521" i="5" a="1"/>
  <c r="H521" i="5"/>
  <c r="G521" i="5" a="1"/>
  <c r="G521" i="5"/>
  <c r="F521" i="5" a="1"/>
  <c r="F521" i="5"/>
  <c r="E521" i="5" a="1"/>
  <c r="E521" i="5"/>
  <c r="A521" i="5"/>
  <c r="J520" i="5" a="1"/>
  <c r="J520" i="5" s="1"/>
  <c r="I520" i="5" a="1"/>
  <c r="I520" i="5" s="1"/>
  <c r="H520" i="5" a="1"/>
  <c r="H520" i="5" s="1"/>
  <c r="G520" i="5" a="1"/>
  <c r="G520" i="5" s="1"/>
  <c r="F520" i="5" a="1"/>
  <c r="F520" i="5" s="1"/>
  <c r="E520" i="5" a="1"/>
  <c r="E520" i="5" s="1"/>
  <c r="A520" i="5"/>
  <c r="J519" i="5" a="1"/>
  <c r="J519" i="5"/>
  <c r="I519" i="5" a="1"/>
  <c r="I519" i="5"/>
  <c r="H519" i="5" a="1"/>
  <c r="H519" i="5"/>
  <c r="G519" i="5" a="1"/>
  <c r="G519" i="5"/>
  <c r="F519" i="5" a="1"/>
  <c r="F519" i="5"/>
  <c r="E519" i="5" a="1"/>
  <c r="E519" i="5"/>
  <c r="A519" i="5"/>
  <c r="J518" i="5" a="1"/>
  <c r="J518" i="5" s="1"/>
  <c r="I518" i="5" a="1"/>
  <c r="I518" i="5" s="1"/>
  <c r="H518" i="5" a="1"/>
  <c r="H518" i="5" s="1"/>
  <c r="G518" i="5" a="1"/>
  <c r="G518" i="5" s="1"/>
  <c r="F518" i="5" a="1"/>
  <c r="F518" i="5" s="1"/>
  <c r="E518" i="5" a="1"/>
  <c r="E518" i="5" s="1"/>
  <c r="A518" i="5"/>
  <c r="J517" i="5" a="1"/>
  <c r="J517" i="5"/>
  <c r="I517" i="5" a="1"/>
  <c r="I517" i="5"/>
  <c r="H517" i="5" a="1"/>
  <c r="H517" i="5"/>
  <c r="G517" i="5" a="1"/>
  <c r="G517" i="5"/>
  <c r="F517" i="5" a="1"/>
  <c r="F517" i="5"/>
  <c r="E517" i="5" a="1"/>
  <c r="E517" i="5"/>
  <c r="A517" i="5"/>
  <c r="J516" i="5" a="1"/>
  <c r="J516" i="5" s="1"/>
  <c r="I516" i="5" a="1"/>
  <c r="I516" i="5" s="1"/>
  <c r="H516" i="5" a="1"/>
  <c r="H516" i="5" s="1"/>
  <c r="G516" i="5" a="1"/>
  <c r="G516" i="5" s="1"/>
  <c r="F516" i="5" a="1"/>
  <c r="F516" i="5" s="1"/>
  <c r="E516" i="5" a="1"/>
  <c r="E516" i="5" s="1"/>
  <c r="A516" i="5"/>
  <c r="J515" i="5" a="1"/>
  <c r="J515" i="5"/>
  <c r="I515" i="5" a="1"/>
  <c r="I515" i="5"/>
  <c r="H515" i="5" a="1"/>
  <c r="H515" i="5"/>
  <c r="G515" i="5" a="1"/>
  <c r="G515" i="5"/>
  <c r="F515" i="5" a="1"/>
  <c r="F515" i="5"/>
  <c r="E515" i="5" a="1"/>
  <c r="E515" i="5"/>
  <c r="A515" i="5"/>
  <c r="J514" i="5" a="1"/>
  <c r="J514" i="5" s="1"/>
  <c r="I514" i="5" a="1"/>
  <c r="I514" i="5" s="1"/>
  <c r="H514" i="5" a="1"/>
  <c r="H514" i="5" s="1"/>
  <c r="G514" i="5" a="1"/>
  <c r="G514" i="5" s="1"/>
  <c r="F514" i="5" a="1"/>
  <c r="F514" i="5" s="1"/>
  <c r="E514" i="5" a="1"/>
  <c r="E514" i="5" s="1"/>
  <c r="A514" i="5"/>
  <c r="J513" i="5" a="1"/>
  <c r="J513" i="5"/>
  <c r="I513" i="5" a="1"/>
  <c r="I513" i="5"/>
  <c r="H513" i="5" a="1"/>
  <c r="H513" i="5"/>
  <c r="G513" i="5" a="1"/>
  <c r="G513" i="5"/>
  <c r="F513" i="5" a="1"/>
  <c r="F513" i="5"/>
  <c r="E513" i="5" a="1"/>
  <c r="E513" i="5"/>
  <c r="A513" i="5"/>
  <c r="J512" i="5" a="1"/>
  <c r="J512" i="5" s="1"/>
  <c r="I512" i="5" a="1"/>
  <c r="I512" i="5" s="1"/>
  <c r="H512" i="5" a="1"/>
  <c r="H512" i="5" s="1"/>
  <c r="G512" i="5" a="1"/>
  <c r="G512" i="5" s="1"/>
  <c r="F512" i="5" a="1"/>
  <c r="F512" i="5" s="1"/>
  <c r="E512" i="5" a="1"/>
  <c r="E512" i="5" s="1"/>
  <c r="A512" i="5"/>
  <c r="J511" i="5" a="1"/>
  <c r="J511" i="5"/>
  <c r="I511" i="5" a="1"/>
  <c r="I511" i="5"/>
  <c r="H511" i="5" a="1"/>
  <c r="H511" i="5"/>
  <c r="G511" i="5" a="1"/>
  <c r="G511" i="5"/>
  <c r="F511" i="5" a="1"/>
  <c r="F511" i="5"/>
  <c r="E511" i="5" a="1"/>
  <c r="E511" i="5"/>
  <c r="A511" i="5"/>
  <c r="J510" i="5" a="1"/>
  <c r="J510" i="5" s="1"/>
  <c r="I510" i="5" a="1"/>
  <c r="I510" i="5" s="1"/>
  <c r="H510" i="5" a="1"/>
  <c r="H510" i="5" s="1"/>
  <c r="G510" i="5" a="1"/>
  <c r="G510" i="5" s="1"/>
  <c r="F510" i="5" a="1"/>
  <c r="F510" i="5" s="1"/>
  <c r="E510" i="5" a="1"/>
  <c r="E510" i="5" s="1"/>
  <c r="A510" i="5"/>
  <c r="J509" i="5" a="1"/>
  <c r="J509" i="5"/>
  <c r="I509" i="5" a="1"/>
  <c r="I509" i="5"/>
  <c r="H509" i="5" a="1"/>
  <c r="H509" i="5"/>
  <c r="G509" i="5" a="1"/>
  <c r="G509" i="5"/>
  <c r="F509" i="5" a="1"/>
  <c r="F509" i="5"/>
  <c r="E509" i="5" a="1"/>
  <c r="E509" i="5"/>
  <c r="A509" i="5"/>
  <c r="J508" i="5" a="1"/>
  <c r="J508" i="5" s="1"/>
  <c r="I508" i="5" a="1"/>
  <c r="I508" i="5" s="1"/>
  <c r="H508" i="5" a="1"/>
  <c r="H508" i="5" s="1"/>
  <c r="G508" i="5" a="1"/>
  <c r="G508" i="5" s="1"/>
  <c r="F508" i="5" a="1"/>
  <c r="F508" i="5" s="1"/>
  <c r="E508" i="5" a="1"/>
  <c r="E508" i="5" s="1"/>
  <c r="A508" i="5"/>
  <c r="J507" i="5" a="1"/>
  <c r="J507" i="5"/>
  <c r="I507" i="5" a="1"/>
  <c r="I507" i="5"/>
  <c r="H507" i="5" a="1"/>
  <c r="H507" i="5"/>
  <c r="G507" i="5" a="1"/>
  <c r="G507" i="5"/>
  <c r="F507" i="5" a="1"/>
  <c r="F507" i="5"/>
  <c r="E507" i="5" a="1"/>
  <c r="E507" i="5"/>
  <c r="A507" i="5"/>
  <c r="J506" i="5" a="1"/>
  <c r="J506" i="5" s="1"/>
  <c r="I506" i="5" a="1"/>
  <c r="I506" i="5" s="1"/>
  <c r="H506" i="5" a="1"/>
  <c r="H506" i="5" s="1"/>
  <c r="G506" i="5" a="1"/>
  <c r="G506" i="5" s="1"/>
  <c r="F506" i="5" a="1"/>
  <c r="F506" i="5" s="1"/>
  <c r="E506" i="5" a="1"/>
  <c r="E506" i="5" s="1"/>
  <c r="A506" i="5"/>
  <c r="J505" i="5" a="1"/>
  <c r="J505" i="5"/>
  <c r="I505" i="5" a="1"/>
  <c r="I505" i="5"/>
  <c r="H505" i="5" a="1"/>
  <c r="H505" i="5"/>
  <c r="G505" i="5" a="1"/>
  <c r="G505" i="5"/>
  <c r="F505" i="5" a="1"/>
  <c r="F505" i="5"/>
  <c r="E505" i="5" a="1"/>
  <c r="E505" i="5"/>
  <c r="A505" i="5"/>
  <c r="J504" i="5" a="1"/>
  <c r="J504" i="5" s="1"/>
  <c r="I504" i="5" a="1"/>
  <c r="I504" i="5" s="1"/>
  <c r="H504" i="5" a="1"/>
  <c r="H504" i="5" s="1"/>
  <c r="G504" i="5" a="1"/>
  <c r="G504" i="5" s="1"/>
  <c r="F504" i="5" a="1"/>
  <c r="F504" i="5" s="1"/>
  <c r="E504" i="5" a="1"/>
  <c r="E504" i="5" s="1"/>
  <c r="A504" i="5"/>
  <c r="J503" i="5" a="1"/>
  <c r="J503" i="5"/>
  <c r="I503" i="5" a="1"/>
  <c r="I503" i="5" s="1"/>
  <c r="H503" i="5" a="1"/>
  <c r="H503" i="5"/>
  <c r="G503" i="5" a="1"/>
  <c r="G503" i="5" s="1"/>
  <c r="F503" i="5" a="1"/>
  <c r="F503" i="5"/>
  <c r="E503" i="5" a="1"/>
  <c r="E503" i="5" s="1"/>
  <c r="A503" i="5"/>
  <c r="J502" i="5" a="1"/>
  <c r="J502" i="5"/>
  <c r="I502" i="5" a="1"/>
  <c r="I502" i="5"/>
  <c r="H502" i="5" a="1"/>
  <c r="H502" i="5"/>
  <c r="G502" i="5" a="1"/>
  <c r="G502" i="5"/>
  <c r="F502" i="5" a="1"/>
  <c r="F502" i="5"/>
  <c r="E502" i="5" a="1"/>
  <c r="E502" i="5" s="1"/>
  <c r="A502" i="5"/>
  <c r="J501" i="5" a="1"/>
  <c r="J501" i="5" s="1"/>
  <c r="I501" i="5" a="1"/>
  <c r="I501" i="5"/>
  <c r="H501" i="5" a="1"/>
  <c r="H501" i="5" s="1"/>
  <c r="G501" i="5" a="1"/>
  <c r="G501" i="5"/>
  <c r="F501" i="5" a="1"/>
  <c r="F501" i="5" s="1"/>
  <c r="E501" i="5" a="1"/>
  <c r="E501" i="5"/>
  <c r="A501" i="5"/>
  <c r="J500" i="5" a="1"/>
  <c r="J500" i="5"/>
  <c r="I500" i="5" a="1"/>
  <c r="I500" i="5"/>
  <c r="H500" i="5" a="1"/>
  <c r="H500" i="5"/>
  <c r="G500" i="5" a="1"/>
  <c r="G500" i="5"/>
  <c r="F500" i="5" a="1"/>
  <c r="F500" i="5" s="1"/>
  <c r="E500" i="5" a="1"/>
  <c r="E500" i="5"/>
  <c r="A500" i="5"/>
  <c r="J499" i="5" a="1"/>
  <c r="J499" i="5"/>
  <c r="I499" i="5" a="1"/>
  <c r="I499" i="5" s="1"/>
  <c r="H499" i="5" a="1"/>
  <c r="H499" i="5"/>
  <c r="G499" i="5" a="1"/>
  <c r="G499" i="5" s="1"/>
  <c r="F499" i="5" a="1"/>
  <c r="F499" i="5"/>
  <c r="E499" i="5" a="1"/>
  <c r="E499" i="5" s="1"/>
  <c r="A499" i="5"/>
  <c r="J498" i="5" a="1"/>
  <c r="J498" i="5"/>
  <c r="I498" i="5" a="1"/>
  <c r="I498" i="5"/>
  <c r="H498" i="5" a="1"/>
  <c r="H498" i="5"/>
  <c r="G498" i="5" a="1"/>
  <c r="G498" i="5"/>
  <c r="F498" i="5" a="1"/>
  <c r="F498" i="5"/>
  <c r="E498" i="5" a="1"/>
  <c r="E498" i="5" s="1"/>
  <c r="A498" i="5"/>
  <c r="J497" i="5" a="1"/>
  <c r="J497" i="5" s="1"/>
  <c r="I497" i="5" a="1"/>
  <c r="I497" i="5"/>
  <c r="H497" i="5" a="1"/>
  <c r="H497" i="5" s="1"/>
  <c r="G497" i="5" a="1"/>
  <c r="G497" i="5"/>
  <c r="F497" i="5" a="1"/>
  <c r="F497" i="5" s="1"/>
  <c r="E497" i="5" a="1"/>
  <c r="E497" i="5"/>
  <c r="A497" i="5"/>
  <c r="J496" i="5" a="1"/>
  <c r="J496" i="5"/>
  <c r="I496" i="5" a="1"/>
  <c r="I496" i="5"/>
  <c r="H496" i="5" a="1"/>
  <c r="H496" i="5"/>
  <c r="G496" i="5" a="1"/>
  <c r="G496" i="5"/>
  <c r="F496" i="5" a="1"/>
  <c r="F496" i="5" s="1"/>
  <c r="E496" i="5" a="1"/>
  <c r="E496" i="5"/>
  <c r="A496" i="5"/>
  <c r="J495" i="5" a="1"/>
  <c r="J495" i="5"/>
  <c r="I495" i="5" a="1"/>
  <c r="I495" i="5" s="1"/>
  <c r="H495" i="5" a="1"/>
  <c r="H495" i="5"/>
  <c r="G495" i="5" a="1"/>
  <c r="G495" i="5" s="1"/>
  <c r="F495" i="5" a="1"/>
  <c r="F495" i="5"/>
  <c r="E495" i="5" a="1"/>
  <c r="E495" i="5" s="1"/>
  <c r="A495" i="5"/>
  <c r="J494" i="5" a="1"/>
  <c r="J494" i="5"/>
  <c r="I494" i="5" a="1"/>
  <c r="I494" i="5"/>
  <c r="H494" i="5" a="1"/>
  <c r="H494" i="5"/>
  <c r="G494" i="5" a="1"/>
  <c r="G494" i="5"/>
  <c r="F494" i="5" a="1"/>
  <c r="F494" i="5"/>
  <c r="E494" i="5" a="1"/>
  <c r="E494" i="5" s="1"/>
  <c r="A494" i="5"/>
  <c r="J493" i="5" a="1"/>
  <c r="J493" i="5" s="1"/>
  <c r="I493" i="5" a="1"/>
  <c r="I493" i="5"/>
  <c r="H493" i="5" a="1"/>
  <c r="H493" i="5" s="1"/>
  <c r="G493" i="5" a="1"/>
  <c r="G493" i="5"/>
  <c r="F493" i="5" a="1"/>
  <c r="F493" i="5" s="1"/>
  <c r="E493" i="5" a="1"/>
  <c r="E493" i="5"/>
  <c r="A493" i="5"/>
  <c r="J492" i="5" a="1"/>
  <c r="J492" i="5"/>
  <c r="I492" i="5" a="1"/>
  <c r="I492" i="5"/>
  <c r="H492" i="5" a="1"/>
  <c r="H492" i="5"/>
  <c r="G492" i="5" a="1"/>
  <c r="G492" i="5"/>
  <c r="F492" i="5" a="1"/>
  <c r="F492" i="5"/>
  <c r="E492" i="5" a="1"/>
  <c r="E492" i="5"/>
  <c r="A492" i="5"/>
  <c r="J491" i="5" a="1"/>
  <c r="J491" i="5"/>
  <c r="I491" i="5" a="1"/>
  <c r="I491" i="5" s="1"/>
  <c r="H491" i="5" a="1"/>
  <c r="H491" i="5"/>
  <c r="G491" i="5" a="1"/>
  <c r="G491" i="5" s="1"/>
  <c r="F491" i="5" a="1"/>
  <c r="F491" i="5"/>
  <c r="E491" i="5" a="1"/>
  <c r="E491" i="5" s="1"/>
  <c r="A491" i="5"/>
  <c r="J490" i="5" a="1"/>
  <c r="J490" i="5"/>
  <c r="I490" i="5" a="1"/>
  <c r="I490" i="5"/>
  <c r="H490" i="5" a="1"/>
  <c r="H490" i="5"/>
  <c r="G490" i="5" a="1"/>
  <c r="G490" i="5"/>
  <c r="F490" i="5" a="1"/>
  <c r="F490" i="5"/>
  <c r="E490" i="5" a="1"/>
  <c r="E490" i="5"/>
  <c r="A490" i="5"/>
  <c r="J489" i="5" a="1"/>
  <c r="J489" i="5" s="1"/>
  <c r="I489" i="5" a="1"/>
  <c r="I489" i="5"/>
  <c r="H489" i="5" a="1"/>
  <c r="H489" i="5" s="1"/>
  <c r="G489" i="5" a="1"/>
  <c r="G489" i="5"/>
  <c r="F489" i="5" a="1"/>
  <c r="F489" i="5" s="1"/>
  <c r="E489" i="5" a="1"/>
  <c r="E489" i="5"/>
  <c r="A489" i="5"/>
  <c r="J488" i="5" a="1"/>
  <c r="J488" i="5"/>
  <c r="I488" i="5" a="1"/>
  <c r="I488" i="5"/>
  <c r="H488" i="5" a="1"/>
  <c r="H488" i="5"/>
  <c r="G488" i="5" a="1"/>
  <c r="G488" i="5"/>
  <c r="F488" i="5" a="1"/>
  <c r="F488" i="5" s="1"/>
  <c r="E488" i="5" a="1"/>
  <c r="E488" i="5"/>
  <c r="A488" i="5"/>
  <c r="J487" i="5" a="1"/>
  <c r="J487" i="5"/>
  <c r="I487" i="5" a="1"/>
  <c r="I487" i="5" s="1"/>
  <c r="H487" i="5" a="1"/>
  <c r="H487" i="5"/>
  <c r="G487" i="5" a="1"/>
  <c r="G487" i="5" s="1"/>
  <c r="F487" i="5" a="1"/>
  <c r="F487" i="5"/>
  <c r="E487" i="5" a="1"/>
  <c r="E487" i="5" s="1"/>
  <c r="A487" i="5"/>
  <c r="J486" i="5" a="1"/>
  <c r="J486" i="5"/>
  <c r="I486" i="5" a="1"/>
  <c r="I486" i="5"/>
  <c r="H486" i="5" a="1"/>
  <c r="H486" i="5"/>
  <c r="G486" i="5" a="1"/>
  <c r="G486" i="5"/>
  <c r="F486" i="5" a="1"/>
  <c r="F486" i="5"/>
  <c r="E486" i="5" a="1"/>
  <c r="E486" i="5" s="1"/>
  <c r="A486" i="5"/>
  <c r="J485" i="5" a="1"/>
  <c r="J485" i="5" s="1"/>
  <c r="I485" i="5" a="1"/>
  <c r="I485" i="5"/>
  <c r="H485" i="5" a="1"/>
  <c r="H485" i="5" s="1"/>
  <c r="G485" i="5" a="1"/>
  <c r="G485" i="5"/>
  <c r="F485" i="5" a="1"/>
  <c r="F485" i="5" s="1"/>
  <c r="E485" i="5" a="1"/>
  <c r="E485" i="5"/>
  <c r="A485" i="5"/>
  <c r="J484" i="5" a="1"/>
  <c r="J484" i="5"/>
  <c r="I484" i="5" a="1"/>
  <c r="I484" i="5"/>
  <c r="H484" i="5" a="1"/>
  <c r="H484" i="5"/>
  <c r="G484" i="5" a="1"/>
  <c r="G484" i="5"/>
  <c r="F484" i="5" a="1"/>
  <c r="F484" i="5" s="1"/>
  <c r="E484" i="5" a="1"/>
  <c r="E484" i="5"/>
  <c r="A484" i="5"/>
  <c r="J483" i="5" a="1"/>
  <c r="J483" i="5"/>
  <c r="I483" i="5" a="1"/>
  <c r="I483" i="5" s="1"/>
  <c r="H483" i="5" a="1"/>
  <c r="H483" i="5"/>
  <c r="G483" i="5" a="1"/>
  <c r="G483" i="5" s="1"/>
  <c r="F483" i="5" a="1"/>
  <c r="F483" i="5"/>
  <c r="E483" i="5" a="1"/>
  <c r="E483" i="5" s="1"/>
  <c r="A483" i="5"/>
  <c r="J482" i="5" a="1"/>
  <c r="J482" i="5"/>
  <c r="I482" i="5" a="1"/>
  <c r="I482" i="5"/>
  <c r="H482" i="5" a="1"/>
  <c r="H482" i="5"/>
  <c r="G482" i="5" a="1"/>
  <c r="G482" i="5"/>
  <c r="F482" i="5" a="1"/>
  <c r="F482" i="5"/>
  <c r="E482" i="5" a="1"/>
  <c r="E482" i="5" s="1"/>
  <c r="A482" i="5"/>
  <c r="J481" i="5" a="1"/>
  <c r="J481" i="5" s="1"/>
  <c r="I481" i="5" a="1"/>
  <c r="I481" i="5"/>
  <c r="H481" i="5" a="1"/>
  <c r="H481" i="5" s="1"/>
  <c r="G481" i="5" a="1"/>
  <c r="G481" i="5"/>
  <c r="F481" i="5" a="1"/>
  <c r="F481" i="5" s="1"/>
  <c r="E481" i="5" a="1"/>
  <c r="E481" i="5"/>
  <c r="A481" i="5"/>
  <c r="J480" i="5" a="1"/>
  <c r="J480" i="5"/>
  <c r="I480" i="5" a="1"/>
  <c r="I480" i="5"/>
  <c r="H480" i="5" a="1"/>
  <c r="H480" i="5"/>
  <c r="G480" i="5" a="1"/>
  <c r="G480" i="5"/>
  <c r="F480" i="5" a="1"/>
  <c r="F480" i="5" s="1"/>
  <c r="E480" i="5" a="1"/>
  <c r="E480" i="5"/>
  <c r="A480" i="5"/>
  <c r="J479" i="5" a="1"/>
  <c r="J479" i="5"/>
  <c r="I479" i="5" a="1"/>
  <c r="I479" i="5" s="1"/>
  <c r="H479" i="5" a="1"/>
  <c r="H479" i="5"/>
  <c r="G479" i="5" a="1"/>
  <c r="G479" i="5" s="1"/>
  <c r="F479" i="5" a="1"/>
  <c r="F479" i="5"/>
  <c r="E479" i="5" a="1"/>
  <c r="E479" i="5" s="1"/>
  <c r="A479" i="5"/>
  <c r="J478" i="5" a="1"/>
  <c r="J478" i="5"/>
  <c r="I478" i="5" a="1"/>
  <c r="I478" i="5"/>
  <c r="H478" i="5" a="1"/>
  <c r="H478" i="5"/>
  <c r="G478" i="5" a="1"/>
  <c r="G478" i="5"/>
  <c r="F478" i="5" a="1"/>
  <c r="F478" i="5"/>
  <c r="E478" i="5" a="1"/>
  <c r="E478" i="5" s="1"/>
  <c r="A478" i="5"/>
  <c r="J477" i="5" a="1"/>
  <c r="J477" i="5" s="1"/>
  <c r="I477" i="5" a="1"/>
  <c r="I477" i="5"/>
  <c r="H477" i="5" a="1"/>
  <c r="H477" i="5" s="1"/>
  <c r="G477" i="5" a="1"/>
  <c r="G477" i="5"/>
  <c r="F477" i="5" a="1"/>
  <c r="F477" i="5" s="1"/>
  <c r="E477" i="5" a="1"/>
  <c r="E477" i="5"/>
  <c r="A477" i="5"/>
  <c r="J476" i="5" a="1"/>
  <c r="J476" i="5"/>
  <c r="I476" i="5" a="1"/>
  <c r="I476" i="5"/>
  <c r="H476" i="5" a="1"/>
  <c r="H476" i="5"/>
  <c r="G476" i="5" a="1"/>
  <c r="G476" i="5"/>
  <c r="F476" i="5" a="1"/>
  <c r="F476" i="5" s="1"/>
  <c r="E476" i="5" a="1"/>
  <c r="E476" i="5"/>
  <c r="A476" i="5"/>
  <c r="J475" i="5" a="1"/>
  <c r="J475" i="5"/>
  <c r="I475" i="5" a="1"/>
  <c r="I475" i="5" s="1"/>
  <c r="H475" i="5" a="1"/>
  <c r="H475" i="5"/>
  <c r="G475" i="5" a="1"/>
  <c r="G475" i="5" s="1"/>
  <c r="F475" i="5" a="1"/>
  <c r="F475" i="5"/>
  <c r="E475" i="5" a="1"/>
  <c r="E475" i="5" s="1"/>
  <c r="A475" i="5"/>
  <c r="J474" i="5" a="1"/>
  <c r="J474" i="5"/>
  <c r="I474" i="5" a="1"/>
  <c r="I474" i="5"/>
  <c r="H474" i="5" a="1"/>
  <c r="H474" i="5"/>
  <c r="G474" i="5" a="1"/>
  <c r="G474" i="5"/>
  <c r="F474" i="5" a="1"/>
  <c r="F474" i="5"/>
  <c r="E474" i="5" a="1"/>
  <c r="E474" i="5" s="1"/>
  <c r="A474" i="5"/>
  <c r="J473" i="5" a="1"/>
  <c r="J473" i="5" s="1"/>
  <c r="I473" i="5" a="1"/>
  <c r="I473" i="5"/>
  <c r="H473" i="5" a="1"/>
  <c r="H473" i="5" s="1"/>
  <c r="G473" i="5" a="1"/>
  <c r="G473" i="5"/>
  <c r="F473" i="5" a="1"/>
  <c r="F473" i="5" s="1"/>
  <c r="E473" i="5" a="1"/>
  <c r="E473" i="5"/>
  <c r="A473" i="5"/>
  <c r="J472" i="5" a="1"/>
  <c r="J472" i="5"/>
  <c r="I472" i="5" a="1"/>
  <c r="I472" i="5"/>
  <c r="H472" i="5" a="1"/>
  <c r="H472" i="5"/>
  <c r="G472" i="5" a="1"/>
  <c r="G472" i="5"/>
  <c r="F472" i="5" a="1"/>
  <c r="F472" i="5" s="1"/>
  <c r="E472" i="5" a="1"/>
  <c r="E472" i="5"/>
  <c r="A472" i="5"/>
  <c r="J471" i="5" a="1"/>
  <c r="J471" i="5"/>
  <c r="I471" i="5" a="1"/>
  <c r="I471" i="5" s="1"/>
  <c r="H471" i="5" a="1"/>
  <c r="H471" i="5"/>
  <c r="G471" i="5" a="1"/>
  <c r="G471" i="5" s="1"/>
  <c r="F471" i="5" a="1"/>
  <c r="F471" i="5"/>
  <c r="E471" i="5" a="1"/>
  <c r="E471" i="5" s="1"/>
  <c r="A471" i="5"/>
  <c r="J470" i="5" a="1"/>
  <c r="J470" i="5"/>
  <c r="I470" i="5" a="1"/>
  <c r="I470" i="5"/>
  <c r="H470" i="5" a="1"/>
  <c r="H470" i="5"/>
  <c r="G470" i="5" a="1"/>
  <c r="G470" i="5"/>
  <c r="F470" i="5" a="1"/>
  <c r="F470" i="5"/>
  <c r="E470" i="5" a="1"/>
  <c r="E470" i="5" s="1"/>
  <c r="A470" i="5"/>
  <c r="J469" i="5" a="1"/>
  <c r="J469" i="5" s="1"/>
  <c r="I469" i="5" a="1"/>
  <c r="I469" i="5"/>
  <c r="H469" i="5" a="1"/>
  <c r="H469" i="5" s="1"/>
  <c r="G469" i="5" a="1"/>
  <c r="G469" i="5"/>
  <c r="F469" i="5" a="1"/>
  <c r="F469" i="5" s="1"/>
  <c r="E469" i="5" a="1"/>
  <c r="E469" i="5"/>
  <c r="A469" i="5"/>
  <c r="J468" i="5" a="1"/>
  <c r="J468" i="5"/>
  <c r="I468" i="5" a="1"/>
  <c r="I468" i="5"/>
  <c r="H468" i="5" a="1"/>
  <c r="H468" i="5"/>
  <c r="G468" i="5" a="1"/>
  <c r="G468" i="5"/>
  <c r="F468" i="5" a="1"/>
  <c r="F468" i="5" s="1"/>
  <c r="E468" i="5" a="1"/>
  <c r="E468" i="5"/>
  <c r="A468" i="5"/>
  <c r="J467" i="5" a="1"/>
  <c r="J467" i="5"/>
  <c r="I467" i="5" a="1"/>
  <c r="I467" i="5" s="1"/>
  <c r="H467" i="5" a="1"/>
  <c r="H467" i="5"/>
  <c r="G467" i="5" a="1"/>
  <c r="G467" i="5" s="1"/>
  <c r="F467" i="5" a="1"/>
  <c r="F467" i="5"/>
  <c r="E467" i="5" a="1"/>
  <c r="E467" i="5" s="1"/>
  <c r="A467" i="5"/>
  <c r="J466" i="5" a="1"/>
  <c r="J466" i="5"/>
  <c r="I466" i="5" a="1"/>
  <c r="I466" i="5"/>
  <c r="H466" i="5" a="1"/>
  <c r="H466" i="5"/>
  <c r="G466" i="5" a="1"/>
  <c r="G466" i="5"/>
  <c r="F466" i="5" a="1"/>
  <c r="F466" i="5"/>
  <c r="E466" i="5" a="1"/>
  <c r="E466" i="5" s="1"/>
  <c r="A466" i="5"/>
  <c r="J465" i="5" a="1"/>
  <c r="J465" i="5" s="1"/>
  <c r="I465" i="5" a="1"/>
  <c r="I465" i="5"/>
  <c r="H465" i="5" a="1"/>
  <c r="H465" i="5" s="1"/>
  <c r="G465" i="5" a="1"/>
  <c r="G465" i="5"/>
  <c r="F465" i="5" a="1"/>
  <c r="F465" i="5" s="1"/>
  <c r="E465" i="5" a="1"/>
  <c r="E465" i="5"/>
  <c r="A465" i="5"/>
  <c r="J464" i="5" a="1"/>
  <c r="J464" i="5"/>
  <c r="I464" i="5" a="1"/>
  <c r="I464" i="5"/>
  <c r="H464" i="5" a="1"/>
  <c r="H464" i="5"/>
  <c r="G464" i="5" a="1"/>
  <c r="G464" i="5"/>
  <c r="F464" i="5" a="1"/>
  <c r="F464" i="5" s="1"/>
  <c r="E464" i="5" a="1"/>
  <c r="E464" i="5"/>
  <c r="A464" i="5"/>
  <c r="J463" i="5" a="1"/>
  <c r="J463" i="5"/>
  <c r="I463" i="5" a="1"/>
  <c r="I463" i="5" s="1"/>
  <c r="H463" i="5" a="1"/>
  <c r="H463" i="5"/>
  <c r="G463" i="5" a="1"/>
  <c r="G463" i="5" s="1"/>
  <c r="F463" i="5" a="1"/>
  <c r="F463" i="5"/>
  <c r="E463" i="5" a="1"/>
  <c r="E463" i="5" s="1"/>
  <c r="A463" i="5"/>
  <c r="J462" i="5" a="1"/>
  <c r="J462" i="5"/>
  <c r="I462" i="5" a="1"/>
  <c r="I462" i="5"/>
  <c r="H462" i="5" a="1"/>
  <c r="H462" i="5"/>
  <c r="G462" i="5" a="1"/>
  <c r="G462" i="5"/>
  <c r="F462" i="5" a="1"/>
  <c r="F462" i="5"/>
  <c r="E462" i="5" a="1"/>
  <c r="E462" i="5" s="1"/>
  <c r="A462" i="5"/>
  <c r="J461" i="5" a="1"/>
  <c r="J461" i="5" s="1"/>
  <c r="I461" i="5" a="1"/>
  <c r="I461" i="5"/>
  <c r="H461" i="5" a="1"/>
  <c r="H461" i="5" s="1"/>
  <c r="G461" i="5" a="1"/>
  <c r="G461" i="5"/>
  <c r="F461" i="5" a="1"/>
  <c r="F461" i="5" s="1"/>
  <c r="E461" i="5" a="1"/>
  <c r="E461" i="5"/>
  <c r="A461" i="5"/>
  <c r="J460" i="5" a="1"/>
  <c r="J460" i="5"/>
  <c r="I460" i="5" a="1"/>
  <c r="I460" i="5"/>
  <c r="H460" i="5" a="1"/>
  <c r="H460" i="5"/>
  <c r="G460" i="5" a="1"/>
  <c r="G460" i="5"/>
  <c r="F460" i="5" a="1"/>
  <c r="F460" i="5" s="1"/>
  <c r="E460" i="5" a="1"/>
  <c r="E460" i="5"/>
  <c r="A460" i="5"/>
  <c r="J459" i="5" a="1"/>
  <c r="J459" i="5"/>
  <c r="I459" i="5" a="1"/>
  <c r="I459" i="5" s="1"/>
  <c r="H459" i="5" a="1"/>
  <c r="H459" i="5"/>
  <c r="G459" i="5" a="1"/>
  <c r="G459" i="5" s="1"/>
  <c r="F459" i="5" a="1"/>
  <c r="F459" i="5"/>
  <c r="E459" i="5" a="1"/>
  <c r="E459" i="5" s="1"/>
  <c r="A459" i="5"/>
  <c r="J458" i="5" a="1"/>
  <c r="J458" i="5"/>
  <c r="I458" i="5" a="1"/>
  <c r="I458" i="5"/>
  <c r="H458" i="5" a="1"/>
  <c r="H458" i="5"/>
  <c r="G458" i="5" a="1"/>
  <c r="G458" i="5"/>
  <c r="F458" i="5" a="1"/>
  <c r="F458" i="5"/>
  <c r="E458" i="5" a="1"/>
  <c r="E458" i="5" s="1"/>
  <c r="A458" i="5"/>
  <c r="J457" i="5" a="1"/>
  <c r="J457" i="5" s="1"/>
  <c r="I457" i="5" a="1"/>
  <c r="I457" i="5"/>
  <c r="H457" i="5" a="1"/>
  <c r="H457" i="5" s="1"/>
  <c r="G457" i="5" a="1"/>
  <c r="G457" i="5"/>
  <c r="F457" i="5" a="1"/>
  <c r="F457" i="5" s="1"/>
  <c r="E457" i="5" a="1"/>
  <c r="E457" i="5"/>
  <c r="A457" i="5"/>
  <c r="J456" i="5" a="1"/>
  <c r="J456" i="5"/>
  <c r="I456" i="5" a="1"/>
  <c r="I456" i="5"/>
  <c r="H456" i="5" a="1"/>
  <c r="H456" i="5"/>
  <c r="G456" i="5" a="1"/>
  <c r="G456" i="5"/>
  <c r="F456" i="5" a="1"/>
  <c r="F456" i="5" s="1"/>
  <c r="E456" i="5" a="1"/>
  <c r="E456" i="5"/>
  <c r="A456" i="5"/>
  <c r="J455" i="5" a="1"/>
  <c r="J455" i="5"/>
  <c r="I455" i="5" a="1"/>
  <c r="I455" i="5" s="1"/>
  <c r="H455" i="5" a="1"/>
  <c r="H455" i="5"/>
  <c r="G455" i="5" a="1"/>
  <c r="G455" i="5" s="1"/>
  <c r="F455" i="5" a="1"/>
  <c r="F455" i="5"/>
  <c r="E455" i="5" a="1"/>
  <c r="E455" i="5" s="1"/>
  <c r="A455" i="5"/>
  <c r="J454" i="5" a="1"/>
  <c r="J454" i="5"/>
  <c r="I454" i="5" a="1"/>
  <c r="I454" i="5"/>
  <c r="H454" i="5" a="1"/>
  <c r="H454" i="5"/>
  <c r="G454" i="5" a="1"/>
  <c r="G454" i="5"/>
  <c r="F454" i="5" a="1"/>
  <c r="F454" i="5"/>
  <c r="E454" i="5" a="1"/>
  <c r="E454" i="5" s="1"/>
  <c r="A454" i="5"/>
  <c r="J453" i="5" a="1"/>
  <c r="J453" i="5" s="1"/>
  <c r="I453" i="5" a="1"/>
  <c r="I453" i="5"/>
  <c r="H453" i="5" a="1"/>
  <c r="H453" i="5" s="1"/>
  <c r="G453" i="5" a="1"/>
  <c r="G453" i="5"/>
  <c r="F453" i="5" a="1"/>
  <c r="F453" i="5" s="1"/>
  <c r="E453" i="5" a="1"/>
  <c r="E453" i="5"/>
  <c r="A453" i="5"/>
  <c r="J452" i="5" a="1"/>
  <c r="J452" i="5"/>
  <c r="I452" i="5" a="1"/>
  <c r="I452" i="5"/>
  <c r="H452" i="5" a="1"/>
  <c r="H452" i="5"/>
  <c r="G452" i="5" a="1"/>
  <c r="G452" i="5"/>
  <c r="F452" i="5" a="1"/>
  <c r="F452" i="5" s="1"/>
  <c r="E452" i="5" a="1"/>
  <c r="E452" i="5"/>
  <c r="A452" i="5"/>
  <c r="J451" i="5" a="1"/>
  <c r="J451" i="5"/>
  <c r="I451" i="5" a="1"/>
  <c r="I451" i="5" s="1"/>
  <c r="H451" i="5" a="1"/>
  <c r="H451" i="5"/>
  <c r="G451" i="5" a="1"/>
  <c r="G451" i="5" s="1"/>
  <c r="F451" i="5" a="1"/>
  <c r="F451" i="5"/>
  <c r="E451" i="5" a="1"/>
  <c r="E451" i="5" s="1"/>
  <c r="A451" i="5"/>
  <c r="J450" i="5" a="1"/>
  <c r="J450" i="5"/>
  <c r="I450" i="5" a="1"/>
  <c r="I450" i="5"/>
  <c r="H450" i="5" a="1"/>
  <c r="H450" i="5"/>
  <c r="G450" i="5" a="1"/>
  <c r="G450" i="5"/>
  <c r="F450" i="5" a="1"/>
  <c r="F450" i="5"/>
  <c r="E450" i="5" a="1"/>
  <c r="E450" i="5" s="1"/>
  <c r="A450" i="5"/>
  <c r="J449" i="5" a="1"/>
  <c r="J449" i="5" s="1"/>
  <c r="I449" i="5" a="1"/>
  <c r="I449" i="5"/>
  <c r="H449" i="5" a="1"/>
  <c r="H449" i="5" s="1"/>
  <c r="G449" i="5" a="1"/>
  <c r="G449" i="5"/>
  <c r="F449" i="5" a="1"/>
  <c r="F449" i="5" s="1"/>
  <c r="E449" i="5" a="1"/>
  <c r="E449" i="5"/>
  <c r="A449" i="5"/>
  <c r="J448" i="5" a="1"/>
  <c r="J448" i="5"/>
  <c r="I448" i="5" a="1"/>
  <c r="I448" i="5"/>
  <c r="H448" i="5" a="1"/>
  <c r="H448" i="5"/>
  <c r="G448" i="5" a="1"/>
  <c r="G448" i="5" s="1"/>
  <c r="F448" i="5" a="1"/>
  <c r="F448" i="5" s="1"/>
  <c r="E448" i="5" a="1"/>
  <c r="E448" i="5"/>
  <c r="A448" i="5"/>
  <c r="J447" i="5" a="1"/>
  <c r="J447" i="5"/>
  <c r="I447" i="5" a="1"/>
  <c r="I447" i="5" s="1"/>
  <c r="H447" i="5" a="1"/>
  <c r="H447" i="5"/>
  <c r="G447" i="5" a="1"/>
  <c r="G447" i="5"/>
  <c r="F447" i="5" a="1"/>
  <c r="F447" i="5"/>
  <c r="E447" i="5" a="1"/>
  <c r="E447" i="5"/>
  <c r="A447" i="5"/>
  <c r="J446" i="5" a="1"/>
  <c r="J446" i="5" s="1"/>
  <c r="I446" i="5" a="1"/>
  <c r="I446" i="5" s="1"/>
  <c r="H446" i="5" a="1"/>
  <c r="H446" i="5" s="1"/>
  <c r="G446" i="5" a="1"/>
  <c r="G446" i="5" s="1"/>
  <c r="F446" i="5" a="1"/>
  <c r="F446" i="5" s="1"/>
  <c r="E446" i="5" a="1"/>
  <c r="E446" i="5" s="1"/>
  <c r="A446" i="5"/>
  <c r="J445" i="5" a="1"/>
  <c r="J445" i="5"/>
  <c r="I445" i="5" a="1"/>
  <c r="I445" i="5"/>
  <c r="H445" i="5" a="1"/>
  <c r="H445" i="5"/>
  <c r="G445" i="5" a="1"/>
  <c r="G445" i="5"/>
  <c r="F445" i="5" a="1"/>
  <c r="F445" i="5"/>
  <c r="E445" i="5" a="1"/>
  <c r="E445" i="5"/>
  <c r="A445" i="5"/>
  <c r="J444" i="5" a="1"/>
  <c r="J444" i="5" s="1"/>
  <c r="I444" i="5" a="1"/>
  <c r="I444" i="5" s="1"/>
  <c r="H444" i="5" a="1"/>
  <c r="H444" i="5" s="1"/>
  <c r="G444" i="5" a="1"/>
  <c r="G444" i="5" s="1"/>
  <c r="F444" i="5" a="1"/>
  <c r="F444" i="5" s="1"/>
  <c r="E444" i="5" a="1"/>
  <c r="E444" i="5" s="1"/>
  <c r="A444" i="5"/>
  <c r="J443" i="5" a="1"/>
  <c r="J443" i="5"/>
  <c r="I443" i="5" a="1"/>
  <c r="I443" i="5"/>
  <c r="H443" i="5" a="1"/>
  <c r="H443" i="5"/>
  <c r="G443" i="5" a="1"/>
  <c r="G443" i="5"/>
  <c r="F443" i="5" a="1"/>
  <c r="F443" i="5"/>
  <c r="E443" i="5" a="1"/>
  <c r="E443" i="5"/>
  <c r="A443" i="5"/>
  <c r="J442" i="5" a="1"/>
  <c r="J442" i="5" s="1"/>
  <c r="I442" i="5" a="1"/>
  <c r="I442" i="5" s="1"/>
  <c r="H442" i="5" a="1"/>
  <c r="H442" i="5" s="1"/>
  <c r="G442" i="5" a="1"/>
  <c r="G442" i="5" s="1"/>
  <c r="F442" i="5" a="1"/>
  <c r="F442" i="5" s="1"/>
  <c r="E442" i="5" a="1"/>
  <c r="E442" i="5" s="1"/>
  <c r="A442" i="5"/>
  <c r="J441" i="5" a="1"/>
  <c r="J441" i="5"/>
  <c r="I441" i="5" a="1"/>
  <c r="I441" i="5"/>
  <c r="H441" i="5" a="1"/>
  <c r="H441" i="5"/>
  <c r="G441" i="5" a="1"/>
  <c r="G441" i="5"/>
  <c r="F441" i="5" a="1"/>
  <c r="F441" i="5"/>
  <c r="E441" i="5" a="1"/>
  <c r="E441" i="5"/>
  <c r="A441" i="5"/>
  <c r="J440" i="5" a="1"/>
  <c r="J440" i="5" s="1"/>
  <c r="I440" i="5" a="1"/>
  <c r="I440" i="5" s="1"/>
  <c r="H440" i="5" a="1"/>
  <c r="H440" i="5" s="1"/>
  <c r="G440" i="5" a="1"/>
  <c r="G440" i="5" s="1"/>
  <c r="F440" i="5" a="1"/>
  <c r="F440" i="5" s="1"/>
  <c r="E440" i="5" a="1"/>
  <c r="E440" i="5" s="1"/>
  <c r="A440" i="5"/>
  <c r="J439" i="5" a="1"/>
  <c r="J439" i="5"/>
  <c r="I439" i="5" a="1"/>
  <c r="I439" i="5"/>
  <c r="H439" i="5" a="1"/>
  <c r="H439" i="5"/>
  <c r="G439" i="5" a="1"/>
  <c r="G439" i="5"/>
  <c r="F439" i="5" a="1"/>
  <c r="F439" i="5"/>
  <c r="E439" i="5" a="1"/>
  <c r="E439" i="5"/>
  <c r="A439" i="5"/>
  <c r="J438" i="5" a="1"/>
  <c r="J438" i="5" s="1"/>
  <c r="I438" i="5" a="1"/>
  <c r="I438" i="5" s="1"/>
  <c r="H438" i="5" a="1"/>
  <c r="H438" i="5" s="1"/>
  <c r="G438" i="5" a="1"/>
  <c r="G438" i="5" s="1"/>
  <c r="F438" i="5" a="1"/>
  <c r="F438" i="5" s="1"/>
  <c r="E438" i="5" a="1"/>
  <c r="E438" i="5" s="1"/>
  <c r="A438" i="5"/>
  <c r="J437" i="5" a="1"/>
  <c r="J437" i="5"/>
  <c r="I437" i="5" a="1"/>
  <c r="I437" i="5"/>
  <c r="H437" i="5" a="1"/>
  <c r="H437" i="5"/>
  <c r="G437" i="5" a="1"/>
  <c r="G437" i="5"/>
  <c r="F437" i="5" a="1"/>
  <c r="F437" i="5"/>
  <c r="E437" i="5" a="1"/>
  <c r="E437" i="5"/>
  <c r="A437" i="5"/>
  <c r="J436" i="5" a="1"/>
  <c r="J436" i="5" s="1"/>
  <c r="I436" i="5" a="1"/>
  <c r="I436" i="5" s="1"/>
  <c r="H436" i="5" a="1"/>
  <c r="H436" i="5" s="1"/>
  <c r="G436" i="5" a="1"/>
  <c r="G436" i="5" s="1"/>
  <c r="F436" i="5" a="1"/>
  <c r="F436" i="5" s="1"/>
  <c r="E436" i="5" a="1"/>
  <c r="E436" i="5" s="1"/>
  <c r="A436" i="5"/>
  <c r="J435" i="5" a="1"/>
  <c r="J435" i="5"/>
  <c r="I435" i="5" a="1"/>
  <c r="I435" i="5"/>
  <c r="H435" i="5" a="1"/>
  <c r="H435" i="5"/>
  <c r="G435" i="5" a="1"/>
  <c r="G435" i="5"/>
  <c r="F435" i="5" a="1"/>
  <c r="F435" i="5"/>
  <c r="E435" i="5" a="1"/>
  <c r="E435" i="5"/>
  <c r="A435" i="5"/>
  <c r="J434" i="5" a="1"/>
  <c r="J434" i="5" s="1"/>
  <c r="I434" i="5" a="1"/>
  <c r="I434" i="5" s="1"/>
  <c r="H434" i="5" a="1"/>
  <c r="H434" i="5" s="1"/>
  <c r="G434" i="5" a="1"/>
  <c r="G434" i="5" s="1"/>
  <c r="F434" i="5" a="1"/>
  <c r="F434" i="5" s="1"/>
  <c r="E434" i="5" a="1"/>
  <c r="E434" i="5" s="1"/>
  <c r="A434" i="5"/>
  <c r="J433" i="5" a="1"/>
  <c r="J433" i="5"/>
  <c r="I433" i="5" a="1"/>
  <c r="I433" i="5"/>
  <c r="H433" i="5" a="1"/>
  <c r="H433" i="5"/>
  <c r="G433" i="5" a="1"/>
  <c r="G433" i="5"/>
  <c r="F433" i="5" a="1"/>
  <c r="F433" i="5"/>
  <c r="E433" i="5" a="1"/>
  <c r="E433" i="5"/>
  <c r="A433" i="5"/>
  <c r="J432" i="5" a="1"/>
  <c r="J432" i="5" s="1"/>
  <c r="I432" i="5" a="1"/>
  <c r="I432" i="5" s="1"/>
  <c r="H432" i="5" a="1"/>
  <c r="H432" i="5" s="1"/>
  <c r="G432" i="5" a="1"/>
  <c r="G432" i="5" s="1"/>
  <c r="F432" i="5" a="1"/>
  <c r="F432" i="5" s="1"/>
  <c r="E432" i="5" a="1"/>
  <c r="E432" i="5" s="1"/>
  <c r="A432" i="5"/>
  <c r="J431" i="5" a="1"/>
  <c r="J431" i="5"/>
  <c r="I431" i="5" a="1"/>
  <c r="I431" i="5"/>
  <c r="H431" i="5" a="1"/>
  <c r="H431" i="5"/>
  <c r="G431" i="5" a="1"/>
  <c r="G431" i="5"/>
  <c r="F431" i="5" a="1"/>
  <c r="F431" i="5"/>
  <c r="E431" i="5" a="1"/>
  <c r="E431" i="5"/>
  <c r="A431" i="5"/>
  <c r="J430" i="5" a="1"/>
  <c r="J430" i="5" s="1"/>
  <c r="I430" i="5" a="1"/>
  <c r="I430" i="5" s="1"/>
  <c r="H430" i="5" a="1"/>
  <c r="H430" i="5" s="1"/>
  <c r="G430" i="5" a="1"/>
  <c r="G430" i="5" s="1"/>
  <c r="F430" i="5" a="1"/>
  <c r="F430" i="5" s="1"/>
  <c r="E430" i="5" a="1"/>
  <c r="E430" i="5" s="1"/>
  <c r="A430" i="5"/>
  <c r="J429" i="5" a="1"/>
  <c r="J429" i="5"/>
  <c r="I429" i="5" a="1"/>
  <c r="I429" i="5"/>
  <c r="H429" i="5" a="1"/>
  <c r="H429" i="5"/>
  <c r="G429" i="5" a="1"/>
  <c r="G429" i="5"/>
  <c r="F429" i="5" a="1"/>
  <c r="F429" i="5"/>
  <c r="E429" i="5" a="1"/>
  <c r="E429" i="5"/>
  <c r="A429" i="5"/>
  <c r="J428" i="5" a="1"/>
  <c r="J428" i="5" s="1"/>
  <c r="I428" i="5" a="1"/>
  <c r="I428" i="5" s="1"/>
  <c r="H428" i="5" a="1"/>
  <c r="H428" i="5" s="1"/>
  <c r="G428" i="5" a="1"/>
  <c r="G428" i="5" s="1"/>
  <c r="F428" i="5" a="1"/>
  <c r="F428" i="5" s="1"/>
  <c r="E428" i="5" a="1"/>
  <c r="E428" i="5" s="1"/>
  <c r="A428" i="5"/>
  <c r="J427" i="5" a="1"/>
  <c r="J427" i="5"/>
  <c r="I427" i="5" a="1"/>
  <c r="I427" i="5"/>
  <c r="H427" i="5" a="1"/>
  <c r="H427" i="5"/>
  <c r="G427" i="5" a="1"/>
  <c r="G427" i="5"/>
  <c r="F427" i="5" a="1"/>
  <c r="F427" i="5"/>
  <c r="E427" i="5" a="1"/>
  <c r="E427" i="5"/>
  <c r="A427" i="5"/>
  <c r="J426" i="5" a="1"/>
  <c r="J426" i="5" s="1"/>
  <c r="I426" i="5" a="1"/>
  <c r="I426" i="5" s="1"/>
  <c r="H426" i="5" a="1"/>
  <c r="H426" i="5" s="1"/>
  <c r="G426" i="5" a="1"/>
  <c r="G426" i="5" s="1"/>
  <c r="F426" i="5" a="1"/>
  <c r="F426" i="5" s="1"/>
  <c r="E426" i="5" a="1"/>
  <c r="E426" i="5" s="1"/>
  <c r="A426" i="5"/>
  <c r="J425" i="5" a="1"/>
  <c r="J425" i="5"/>
  <c r="I425" i="5" a="1"/>
  <c r="I425" i="5"/>
  <c r="H425" i="5" a="1"/>
  <c r="H425" i="5"/>
  <c r="G425" i="5" a="1"/>
  <c r="G425" i="5"/>
  <c r="F425" i="5" a="1"/>
  <c r="F425" i="5"/>
  <c r="E425" i="5" a="1"/>
  <c r="E425" i="5"/>
  <c r="A425" i="5"/>
  <c r="J424" i="5" a="1"/>
  <c r="J424" i="5" s="1"/>
  <c r="I424" i="5" a="1"/>
  <c r="I424" i="5" s="1"/>
  <c r="H424" i="5" a="1"/>
  <c r="H424" i="5" s="1"/>
  <c r="G424" i="5" a="1"/>
  <c r="G424" i="5" s="1"/>
  <c r="F424" i="5" a="1"/>
  <c r="F424" i="5" s="1"/>
  <c r="E424" i="5" a="1"/>
  <c r="E424" i="5" s="1"/>
  <c r="A424" i="5"/>
  <c r="J423" i="5" a="1"/>
  <c r="J423" i="5"/>
  <c r="I423" i="5" a="1"/>
  <c r="I423" i="5"/>
  <c r="H423" i="5" a="1"/>
  <c r="H423" i="5"/>
  <c r="G423" i="5" a="1"/>
  <c r="G423" i="5"/>
  <c r="F423" i="5" a="1"/>
  <c r="F423" i="5"/>
  <c r="E423" i="5" a="1"/>
  <c r="E423" i="5"/>
  <c r="A423" i="5"/>
  <c r="J422" i="5" a="1"/>
  <c r="J422" i="5" s="1"/>
  <c r="I422" i="5" a="1"/>
  <c r="I422" i="5" s="1"/>
  <c r="H422" i="5" a="1"/>
  <c r="H422" i="5" s="1"/>
  <c r="G422" i="5" a="1"/>
  <c r="G422" i="5" s="1"/>
  <c r="F422" i="5" a="1"/>
  <c r="F422" i="5" s="1"/>
  <c r="E422" i="5" a="1"/>
  <c r="E422" i="5" s="1"/>
  <c r="A422" i="5"/>
  <c r="J421" i="5" a="1"/>
  <c r="J421" i="5"/>
  <c r="I421" i="5" a="1"/>
  <c r="I421" i="5"/>
  <c r="H421" i="5" a="1"/>
  <c r="H421" i="5"/>
  <c r="G421" i="5" a="1"/>
  <c r="G421" i="5"/>
  <c r="F421" i="5" a="1"/>
  <c r="F421" i="5"/>
  <c r="E421" i="5" a="1"/>
  <c r="E421" i="5"/>
  <c r="A421" i="5"/>
  <c r="J420" i="5" a="1"/>
  <c r="J420" i="5" s="1"/>
  <c r="I420" i="5" a="1"/>
  <c r="I420" i="5" s="1"/>
  <c r="H420" i="5" a="1"/>
  <c r="H420" i="5" s="1"/>
  <c r="G420" i="5" a="1"/>
  <c r="G420" i="5" s="1"/>
  <c r="F420" i="5" a="1"/>
  <c r="F420" i="5" s="1"/>
  <c r="E420" i="5" a="1"/>
  <c r="E420" i="5" s="1"/>
  <c r="A420" i="5"/>
  <c r="J419" i="5" a="1"/>
  <c r="J419" i="5"/>
  <c r="I419" i="5" a="1"/>
  <c r="I419" i="5"/>
  <c r="H419" i="5" a="1"/>
  <c r="H419" i="5"/>
  <c r="G419" i="5" a="1"/>
  <c r="G419" i="5"/>
  <c r="F419" i="5" a="1"/>
  <c r="F419" i="5"/>
  <c r="E419" i="5" a="1"/>
  <c r="E419" i="5"/>
  <c r="A419" i="5"/>
  <c r="J418" i="5" a="1"/>
  <c r="J418" i="5" s="1"/>
  <c r="I418" i="5" a="1"/>
  <c r="I418" i="5" s="1"/>
  <c r="H418" i="5" a="1"/>
  <c r="H418" i="5" s="1"/>
  <c r="G418" i="5" a="1"/>
  <c r="G418" i="5" s="1"/>
  <c r="F418" i="5" a="1"/>
  <c r="F418" i="5" s="1"/>
  <c r="E418" i="5" a="1"/>
  <c r="E418" i="5" s="1"/>
  <c r="A418" i="5"/>
  <c r="J417" i="5" a="1"/>
  <c r="J417" i="5"/>
  <c r="I417" i="5" a="1"/>
  <c r="I417" i="5"/>
  <c r="H417" i="5" a="1"/>
  <c r="H417" i="5"/>
  <c r="G417" i="5" a="1"/>
  <c r="G417" i="5"/>
  <c r="F417" i="5" a="1"/>
  <c r="F417" i="5"/>
  <c r="E417" i="5" a="1"/>
  <c r="E417" i="5"/>
  <c r="A417" i="5"/>
  <c r="J416" i="5" a="1"/>
  <c r="J416" i="5" s="1"/>
  <c r="I416" i="5" a="1"/>
  <c r="I416" i="5" s="1"/>
  <c r="H416" i="5" a="1"/>
  <c r="H416" i="5" s="1"/>
  <c r="G416" i="5" a="1"/>
  <c r="G416" i="5" s="1"/>
  <c r="F416" i="5" a="1"/>
  <c r="F416" i="5" s="1"/>
  <c r="E416" i="5" a="1"/>
  <c r="E416" i="5" s="1"/>
  <c r="A416" i="5"/>
  <c r="J415" i="5" a="1"/>
  <c r="J415" i="5"/>
  <c r="I415" i="5" a="1"/>
  <c r="I415" i="5"/>
  <c r="H415" i="5" a="1"/>
  <c r="H415" i="5"/>
  <c r="G415" i="5" a="1"/>
  <c r="G415" i="5"/>
  <c r="F415" i="5" a="1"/>
  <c r="F415" i="5"/>
  <c r="E415" i="5" a="1"/>
  <c r="E415" i="5"/>
  <c r="A415" i="5"/>
  <c r="J414" i="5" a="1"/>
  <c r="J414" i="5" s="1"/>
  <c r="I414" i="5" a="1"/>
  <c r="I414" i="5" s="1"/>
  <c r="H414" i="5" a="1"/>
  <c r="H414" i="5" s="1"/>
  <c r="G414" i="5" a="1"/>
  <c r="G414" i="5" s="1"/>
  <c r="F414" i="5" a="1"/>
  <c r="F414" i="5" s="1"/>
  <c r="E414" i="5" a="1"/>
  <c r="E414" i="5" s="1"/>
  <c r="A414" i="5"/>
  <c r="J413" i="5" a="1"/>
  <c r="J413" i="5"/>
  <c r="I413" i="5" a="1"/>
  <c r="I413" i="5"/>
  <c r="H413" i="5" a="1"/>
  <c r="H413" i="5"/>
  <c r="G413" i="5" a="1"/>
  <c r="G413" i="5"/>
  <c r="F413" i="5" a="1"/>
  <c r="F413" i="5"/>
  <c r="E413" i="5" a="1"/>
  <c r="E413" i="5"/>
  <c r="A413" i="5"/>
  <c r="J412" i="5" a="1"/>
  <c r="J412" i="5" s="1"/>
  <c r="I412" i="5" a="1"/>
  <c r="I412" i="5" s="1"/>
  <c r="H412" i="5" a="1"/>
  <c r="H412" i="5" s="1"/>
  <c r="G412" i="5" a="1"/>
  <c r="G412" i="5" s="1"/>
  <c r="F412" i="5" a="1"/>
  <c r="F412" i="5" s="1"/>
  <c r="E412" i="5" a="1"/>
  <c r="E412" i="5" s="1"/>
  <c r="A412" i="5"/>
  <c r="J411" i="5" a="1"/>
  <c r="J411" i="5"/>
  <c r="I411" i="5" a="1"/>
  <c r="I411" i="5"/>
  <c r="H411" i="5" a="1"/>
  <c r="H411" i="5"/>
  <c r="G411" i="5" a="1"/>
  <c r="G411" i="5"/>
  <c r="F411" i="5" a="1"/>
  <c r="F411" i="5"/>
  <c r="E411" i="5" a="1"/>
  <c r="E411" i="5"/>
  <c r="A411" i="5"/>
  <c r="J410" i="5" a="1"/>
  <c r="J410" i="5" s="1"/>
  <c r="I410" i="5" a="1"/>
  <c r="I410" i="5" s="1"/>
  <c r="H410" i="5" a="1"/>
  <c r="H410" i="5" s="1"/>
  <c r="G410" i="5" a="1"/>
  <c r="G410" i="5" s="1"/>
  <c r="F410" i="5" a="1"/>
  <c r="F410" i="5" s="1"/>
  <c r="E410" i="5" a="1"/>
  <c r="E410" i="5" s="1"/>
  <c r="A410" i="5"/>
  <c r="J409" i="5" a="1"/>
  <c r="J409" i="5"/>
  <c r="I409" i="5" a="1"/>
  <c r="I409" i="5"/>
  <c r="H409" i="5" a="1"/>
  <c r="H409" i="5"/>
  <c r="G409" i="5" a="1"/>
  <c r="G409" i="5"/>
  <c r="F409" i="5" a="1"/>
  <c r="F409" i="5"/>
  <c r="E409" i="5" a="1"/>
  <c r="E409" i="5"/>
  <c r="A409" i="5"/>
  <c r="J408" i="5" a="1"/>
  <c r="J408" i="5" s="1"/>
  <c r="I408" i="5" a="1"/>
  <c r="I408" i="5" s="1"/>
  <c r="H408" i="5" a="1"/>
  <c r="H408" i="5" s="1"/>
  <c r="G408" i="5" a="1"/>
  <c r="G408" i="5" s="1"/>
  <c r="F408" i="5" a="1"/>
  <c r="F408" i="5" s="1"/>
  <c r="E408" i="5" a="1"/>
  <c r="E408" i="5" s="1"/>
  <c r="A408" i="5"/>
  <c r="J407" i="5" a="1"/>
  <c r="J407" i="5"/>
  <c r="I407" i="5" a="1"/>
  <c r="I407" i="5"/>
  <c r="H407" i="5" a="1"/>
  <c r="H407" i="5"/>
  <c r="G407" i="5" a="1"/>
  <c r="G407" i="5"/>
  <c r="F407" i="5" a="1"/>
  <c r="F407" i="5"/>
  <c r="E407" i="5" a="1"/>
  <c r="E407" i="5"/>
  <c r="A407" i="5"/>
  <c r="J406" i="5" a="1"/>
  <c r="J406" i="5" s="1"/>
  <c r="I406" i="5" a="1"/>
  <c r="I406" i="5" s="1"/>
  <c r="H406" i="5" a="1"/>
  <c r="H406" i="5" s="1"/>
  <c r="G406" i="5" a="1"/>
  <c r="G406" i="5" s="1"/>
  <c r="F406" i="5" a="1"/>
  <c r="F406" i="5" s="1"/>
  <c r="E406" i="5" a="1"/>
  <c r="E406" i="5" s="1"/>
  <c r="A406" i="5"/>
  <c r="J405" i="5" a="1"/>
  <c r="J405" i="5"/>
  <c r="I405" i="5" a="1"/>
  <c r="I405" i="5"/>
  <c r="H405" i="5" a="1"/>
  <c r="H405" i="5"/>
  <c r="G405" i="5" a="1"/>
  <c r="G405" i="5"/>
  <c r="F405" i="5" a="1"/>
  <c r="F405" i="5"/>
  <c r="E405" i="5" a="1"/>
  <c r="E405" i="5"/>
  <c r="A405" i="5"/>
  <c r="J404" i="5" a="1"/>
  <c r="J404" i="5" s="1"/>
  <c r="I404" i="5" a="1"/>
  <c r="I404" i="5" s="1"/>
  <c r="H404" i="5" a="1"/>
  <c r="H404" i="5" s="1"/>
  <c r="G404" i="5" a="1"/>
  <c r="G404" i="5" s="1"/>
  <c r="F404" i="5" a="1"/>
  <c r="F404" i="5" s="1"/>
  <c r="E404" i="5" a="1"/>
  <c r="E404" i="5" s="1"/>
  <c r="A404" i="5"/>
  <c r="J403" i="5" a="1"/>
  <c r="J403" i="5"/>
  <c r="I403" i="5" a="1"/>
  <c r="I403" i="5"/>
  <c r="H403" i="5" a="1"/>
  <c r="H403" i="5"/>
  <c r="G403" i="5" a="1"/>
  <c r="G403" i="5"/>
  <c r="F403" i="5" a="1"/>
  <c r="F403" i="5"/>
  <c r="E403" i="5" a="1"/>
  <c r="E403" i="5"/>
  <c r="A403" i="5"/>
  <c r="J402" i="5" a="1"/>
  <c r="J402" i="5" s="1"/>
  <c r="I402" i="5" a="1"/>
  <c r="I402" i="5" s="1"/>
  <c r="H402" i="5" a="1"/>
  <c r="H402" i="5" s="1"/>
  <c r="G402" i="5" a="1"/>
  <c r="G402" i="5" s="1"/>
  <c r="F402" i="5" a="1"/>
  <c r="F402" i="5" s="1"/>
  <c r="E402" i="5" a="1"/>
  <c r="E402" i="5" s="1"/>
  <c r="A402" i="5"/>
  <c r="J401" i="5" a="1"/>
  <c r="J401" i="5"/>
  <c r="I401" i="5" a="1"/>
  <c r="I401" i="5"/>
  <c r="H401" i="5" a="1"/>
  <c r="H401" i="5"/>
  <c r="G401" i="5" a="1"/>
  <c r="G401" i="5"/>
  <c r="F401" i="5" a="1"/>
  <c r="F401" i="5"/>
  <c r="E401" i="5" a="1"/>
  <c r="E401" i="5"/>
  <c r="A401" i="5"/>
  <c r="J400" i="5" a="1"/>
  <c r="J400" i="5" s="1"/>
  <c r="I400" i="5" a="1"/>
  <c r="I400" i="5" s="1"/>
  <c r="H400" i="5" a="1"/>
  <c r="H400" i="5" s="1"/>
  <c r="G400" i="5" a="1"/>
  <c r="G400" i="5" s="1"/>
  <c r="F400" i="5" a="1"/>
  <c r="F400" i="5" s="1"/>
  <c r="E400" i="5" a="1"/>
  <c r="E400" i="5" s="1"/>
  <c r="A400" i="5"/>
  <c r="J399" i="5" a="1"/>
  <c r="J399" i="5"/>
  <c r="I399" i="5" a="1"/>
  <c r="I399" i="5"/>
  <c r="H399" i="5" a="1"/>
  <c r="H399" i="5"/>
  <c r="G399" i="5" a="1"/>
  <c r="G399" i="5"/>
  <c r="F399" i="5" a="1"/>
  <c r="F399" i="5"/>
  <c r="E399" i="5" a="1"/>
  <c r="E399" i="5"/>
  <c r="A399" i="5"/>
  <c r="J398" i="5" a="1"/>
  <c r="J398" i="5" s="1"/>
  <c r="I398" i="5" a="1"/>
  <c r="I398" i="5" s="1"/>
  <c r="H398" i="5" a="1"/>
  <c r="H398" i="5" s="1"/>
  <c r="G398" i="5" a="1"/>
  <c r="G398" i="5" s="1"/>
  <c r="F398" i="5" a="1"/>
  <c r="F398" i="5" s="1"/>
  <c r="E398" i="5" a="1"/>
  <c r="E398" i="5" s="1"/>
  <c r="A398" i="5"/>
  <c r="J397" i="5" a="1"/>
  <c r="J397" i="5"/>
  <c r="I397" i="5" a="1"/>
  <c r="I397" i="5"/>
  <c r="H397" i="5" a="1"/>
  <c r="H397" i="5"/>
  <c r="G397" i="5" a="1"/>
  <c r="G397" i="5"/>
  <c r="F397" i="5" a="1"/>
  <c r="F397" i="5"/>
  <c r="E397" i="5" a="1"/>
  <c r="E397" i="5"/>
  <c r="A397" i="5"/>
  <c r="J396" i="5" a="1"/>
  <c r="J396" i="5" s="1"/>
  <c r="I396" i="5" a="1"/>
  <c r="I396" i="5" s="1"/>
  <c r="H396" i="5" a="1"/>
  <c r="H396" i="5" s="1"/>
  <c r="G396" i="5" a="1"/>
  <c r="G396" i="5" s="1"/>
  <c r="F396" i="5" a="1"/>
  <c r="F396" i="5" s="1"/>
  <c r="E396" i="5" a="1"/>
  <c r="E396" i="5" s="1"/>
  <c r="A396" i="5"/>
  <c r="J395" i="5" a="1"/>
  <c r="J395" i="5"/>
  <c r="I395" i="5" a="1"/>
  <c r="I395" i="5"/>
  <c r="H395" i="5" a="1"/>
  <c r="H395" i="5"/>
  <c r="G395" i="5" a="1"/>
  <c r="G395" i="5"/>
  <c r="F395" i="5" a="1"/>
  <c r="F395" i="5"/>
  <c r="E395" i="5" a="1"/>
  <c r="E395" i="5"/>
  <c r="A395" i="5"/>
  <c r="J394" i="5" a="1"/>
  <c r="J394" i="5" s="1"/>
  <c r="I394" i="5" a="1"/>
  <c r="I394" i="5" s="1"/>
  <c r="H394" i="5" a="1"/>
  <c r="H394" i="5" s="1"/>
  <c r="G394" i="5" a="1"/>
  <c r="G394" i="5" s="1"/>
  <c r="F394" i="5" a="1"/>
  <c r="F394" i="5" s="1"/>
  <c r="E394" i="5" a="1"/>
  <c r="E394" i="5" s="1"/>
  <c r="A394" i="5"/>
  <c r="J393" i="5" a="1"/>
  <c r="J393" i="5"/>
  <c r="I393" i="5" a="1"/>
  <c r="I393" i="5"/>
  <c r="H393" i="5" a="1"/>
  <c r="H393" i="5"/>
  <c r="G393" i="5" a="1"/>
  <c r="G393" i="5"/>
  <c r="F393" i="5" a="1"/>
  <c r="F393" i="5"/>
  <c r="E393" i="5" a="1"/>
  <c r="E393" i="5"/>
  <c r="A393" i="5"/>
  <c r="J392" i="5" a="1"/>
  <c r="J392" i="5" s="1"/>
  <c r="I392" i="5" a="1"/>
  <c r="I392" i="5" s="1"/>
  <c r="H392" i="5" a="1"/>
  <c r="H392" i="5" s="1"/>
  <c r="G392" i="5" a="1"/>
  <c r="G392" i="5" s="1"/>
  <c r="F392" i="5" a="1"/>
  <c r="F392" i="5" s="1"/>
  <c r="E392" i="5" a="1"/>
  <c r="E392" i="5"/>
  <c r="A392" i="5"/>
  <c r="J391" i="5" a="1"/>
  <c r="J391" i="5"/>
  <c r="I391" i="5" a="1"/>
  <c r="I391" i="5" s="1"/>
  <c r="H391" i="5" a="1"/>
  <c r="H391" i="5" s="1"/>
  <c r="G391" i="5" a="1"/>
  <c r="G391" i="5" s="1"/>
  <c r="F391" i="5" a="1"/>
  <c r="F391" i="5" s="1"/>
  <c r="E391" i="5" a="1"/>
  <c r="E391" i="5" s="1"/>
  <c r="A391" i="5"/>
  <c r="J390" i="5" a="1"/>
  <c r="J390" i="5"/>
  <c r="I390" i="5" a="1"/>
  <c r="I390" i="5"/>
  <c r="H390" i="5" a="1"/>
  <c r="H390" i="5"/>
  <c r="G390" i="5" a="1"/>
  <c r="G390" i="5" s="1"/>
  <c r="F390" i="5" a="1"/>
  <c r="F390" i="5"/>
  <c r="E390" i="5" a="1"/>
  <c r="E390" i="5" s="1"/>
  <c r="A390" i="5"/>
  <c r="J389" i="5" a="1"/>
  <c r="J389" i="5" s="1"/>
  <c r="I389" i="5" a="1"/>
  <c r="I389" i="5"/>
  <c r="H389" i="5" a="1"/>
  <c r="H389" i="5" s="1"/>
  <c r="G389" i="5" a="1"/>
  <c r="G389" i="5" s="1"/>
  <c r="F389" i="5" a="1"/>
  <c r="F389" i="5" s="1"/>
  <c r="E389" i="5" a="1"/>
  <c r="E389" i="5" s="1"/>
  <c r="A389" i="5"/>
  <c r="J388" i="5" a="1"/>
  <c r="J388" i="5"/>
  <c r="I388" i="5" a="1"/>
  <c r="I388" i="5"/>
  <c r="H388" i="5" a="1"/>
  <c r="H388" i="5" s="1"/>
  <c r="G388" i="5" a="1"/>
  <c r="G388" i="5"/>
  <c r="F388" i="5" a="1"/>
  <c r="F388" i="5" s="1"/>
  <c r="E388" i="5" a="1"/>
  <c r="E388" i="5"/>
  <c r="A388" i="5"/>
  <c r="J387" i="5" a="1"/>
  <c r="J387" i="5"/>
  <c r="I387" i="5" a="1"/>
  <c r="I387" i="5" s="1"/>
  <c r="H387" i="5" a="1"/>
  <c r="H387" i="5" s="1"/>
  <c r="G387" i="5" a="1"/>
  <c r="G387" i="5" s="1"/>
  <c r="F387" i="5" a="1"/>
  <c r="F387" i="5" s="1"/>
  <c r="E387" i="5" a="1"/>
  <c r="E387" i="5" s="1"/>
  <c r="A387" i="5"/>
  <c r="J386" i="5" a="1"/>
  <c r="J386" i="5"/>
  <c r="I386" i="5" a="1"/>
  <c r="I386" i="5"/>
  <c r="H386" i="5" a="1"/>
  <c r="H386" i="5"/>
  <c r="G386" i="5" a="1"/>
  <c r="G386" i="5" s="1"/>
  <c r="F386" i="5" a="1"/>
  <c r="F386" i="5"/>
  <c r="E386" i="5" a="1"/>
  <c r="E386" i="5" s="1"/>
  <c r="A386" i="5"/>
  <c r="J385" i="5" a="1"/>
  <c r="J385" i="5" s="1"/>
  <c r="I385" i="5" a="1"/>
  <c r="I385" i="5"/>
  <c r="H385" i="5" a="1"/>
  <c r="H385" i="5" s="1"/>
  <c r="G385" i="5" a="1"/>
  <c r="G385" i="5" s="1"/>
  <c r="F385" i="5" a="1"/>
  <c r="F385" i="5" s="1"/>
  <c r="E385" i="5" a="1"/>
  <c r="E385" i="5" s="1"/>
  <c r="A385" i="5"/>
  <c r="J384" i="5" a="1"/>
  <c r="J384" i="5" s="1"/>
  <c r="I384" i="5" a="1"/>
  <c r="I384" i="5"/>
  <c r="H384" i="5" a="1"/>
  <c r="H384" i="5" s="1"/>
  <c r="G384" i="5" a="1"/>
  <c r="G384" i="5"/>
  <c r="F384" i="5" a="1"/>
  <c r="F384" i="5" s="1"/>
  <c r="E384" i="5" a="1"/>
  <c r="E384" i="5"/>
  <c r="A384" i="5"/>
  <c r="J383" i="5" a="1"/>
  <c r="J383" i="5"/>
  <c r="I383" i="5" a="1"/>
  <c r="I383" i="5" s="1"/>
  <c r="H383" i="5" a="1"/>
  <c r="H383" i="5" s="1"/>
  <c r="G383" i="5" a="1"/>
  <c r="G383" i="5" s="1"/>
  <c r="F383" i="5" a="1"/>
  <c r="F383" i="5" s="1"/>
  <c r="E383" i="5" a="1"/>
  <c r="E383" i="5" s="1"/>
  <c r="A383" i="5"/>
  <c r="J382" i="5" a="1"/>
  <c r="J382" i="5"/>
  <c r="I382" i="5" a="1"/>
  <c r="I382" i="5" s="1"/>
  <c r="H382" i="5" a="1"/>
  <c r="H382" i="5"/>
  <c r="G382" i="5" a="1"/>
  <c r="G382" i="5" s="1"/>
  <c r="F382" i="5" a="1"/>
  <c r="F382" i="5"/>
  <c r="E382" i="5" a="1"/>
  <c r="E382" i="5" s="1"/>
  <c r="A382" i="5"/>
  <c r="J381" i="5" a="1"/>
  <c r="J381" i="5" s="1"/>
  <c r="I381" i="5" a="1"/>
  <c r="I381" i="5"/>
  <c r="H381" i="5" a="1"/>
  <c r="H381" i="5" s="1"/>
  <c r="G381" i="5" a="1"/>
  <c r="G381" i="5" s="1"/>
  <c r="F381" i="5" a="1"/>
  <c r="F381" i="5" s="1"/>
  <c r="E381" i="5" a="1"/>
  <c r="E381" i="5" s="1"/>
  <c r="A381" i="5"/>
  <c r="J380" i="5" a="1"/>
  <c r="J380" i="5" s="1"/>
  <c r="I380" i="5" a="1"/>
  <c r="I380" i="5"/>
  <c r="H380" i="5" a="1"/>
  <c r="H380" i="5" s="1"/>
  <c r="G380" i="5" a="1"/>
  <c r="G380" i="5"/>
  <c r="F380" i="5" a="1"/>
  <c r="F380" i="5" s="1"/>
  <c r="E380" i="5" a="1"/>
  <c r="E380" i="5"/>
  <c r="A380" i="5"/>
  <c r="J379" i="5" a="1"/>
  <c r="J379" i="5"/>
  <c r="I379" i="5" a="1"/>
  <c r="I379" i="5" s="1"/>
  <c r="H379" i="5" a="1"/>
  <c r="H379" i="5" s="1"/>
  <c r="G379" i="5" a="1"/>
  <c r="G379" i="5" s="1"/>
  <c r="F379" i="5" a="1"/>
  <c r="F379" i="5" s="1"/>
  <c r="E379" i="5" a="1"/>
  <c r="E379" i="5" s="1"/>
  <c r="A379" i="5"/>
  <c r="J378" i="5" a="1"/>
  <c r="J378" i="5"/>
  <c r="I378" i="5" a="1"/>
  <c r="I378" i="5" s="1"/>
  <c r="H378" i="5" a="1"/>
  <c r="H378" i="5"/>
  <c r="G378" i="5" a="1"/>
  <c r="G378" i="5" s="1"/>
  <c r="F378" i="5" a="1"/>
  <c r="F378" i="5"/>
  <c r="E378" i="5" a="1"/>
  <c r="E378" i="5" s="1"/>
  <c r="A378" i="5"/>
  <c r="J377" i="5" a="1"/>
  <c r="J377" i="5" s="1"/>
  <c r="I377" i="5" a="1"/>
  <c r="I377" i="5"/>
  <c r="H377" i="5" a="1"/>
  <c r="H377" i="5" s="1"/>
  <c r="G377" i="5" a="1"/>
  <c r="G377" i="5" s="1"/>
  <c r="F377" i="5" a="1"/>
  <c r="F377" i="5" s="1"/>
  <c r="E377" i="5" a="1"/>
  <c r="E377" i="5" s="1"/>
  <c r="A377" i="5"/>
  <c r="J376" i="5" a="1"/>
  <c r="J376" i="5" s="1"/>
  <c r="I376" i="5" a="1"/>
  <c r="I376" i="5"/>
  <c r="H376" i="5" a="1"/>
  <c r="H376" i="5" s="1"/>
  <c r="G376" i="5" a="1"/>
  <c r="G376" i="5"/>
  <c r="F376" i="5" a="1"/>
  <c r="F376" i="5" s="1"/>
  <c r="E376" i="5" a="1"/>
  <c r="E376" i="5"/>
  <c r="A376" i="5"/>
  <c r="J375" i="5" a="1"/>
  <c r="J375" i="5"/>
  <c r="I375" i="5" a="1"/>
  <c r="I375" i="5" s="1"/>
  <c r="H375" i="5" a="1"/>
  <c r="H375" i="5" s="1"/>
  <c r="G375" i="5" a="1"/>
  <c r="G375" i="5" s="1"/>
  <c r="F375" i="5" a="1"/>
  <c r="F375" i="5" s="1"/>
  <c r="E375" i="5" a="1"/>
  <c r="E375" i="5" s="1"/>
  <c r="A375" i="5"/>
  <c r="J374" i="5" a="1"/>
  <c r="J374" i="5"/>
  <c r="I374" i="5" a="1"/>
  <c r="I374" i="5" s="1"/>
  <c r="H374" i="5" a="1"/>
  <c r="H374" i="5"/>
  <c r="G374" i="5" a="1"/>
  <c r="G374" i="5" s="1"/>
  <c r="F374" i="5" a="1"/>
  <c r="F374" i="5"/>
  <c r="E374" i="5" a="1"/>
  <c r="E374" i="5" s="1"/>
  <c r="A374" i="5"/>
  <c r="J373" i="5" a="1"/>
  <c r="J373" i="5" s="1"/>
  <c r="I373" i="5" a="1"/>
  <c r="I373" i="5"/>
  <c r="H373" i="5" a="1"/>
  <c r="H373" i="5" s="1"/>
  <c r="G373" i="5" a="1"/>
  <c r="G373" i="5" s="1"/>
  <c r="F373" i="5" a="1"/>
  <c r="F373" i="5" s="1"/>
  <c r="E373" i="5" a="1"/>
  <c r="E373" i="5" s="1"/>
  <c r="A373" i="5"/>
  <c r="J372" i="5" a="1"/>
  <c r="J372" i="5" s="1"/>
  <c r="I372" i="5" a="1"/>
  <c r="I372" i="5"/>
  <c r="H372" i="5" a="1"/>
  <c r="H372" i="5" s="1"/>
  <c r="G372" i="5" a="1"/>
  <c r="G372" i="5"/>
  <c r="F372" i="5" a="1"/>
  <c r="F372" i="5" s="1"/>
  <c r="E372" i="5" a="1"/>
  <c r="E372" i="5"/>
  <c r="A372" i="5"/>
  <c r="J371" i="5" a="1"/>
  <c r="J371" i="5"/>
  <c r="I371" i="5" a="1"/>
  <c r="I371" i="5" s="1"/>
  <c r="H371" i="5" a="1"/>
  <c r="H371" i="5" s="1"/>
  <c r="G371" i="5" a="1"/>
  <c r="G371" i="5" s="1"/>
  <c r="F371" i="5" a="1"/>
  <c r="F371" i="5" s="1"/>
  <c r="E371" i="5" a="1"/>
  <c r="E371" i="5" s="1"/>
  <c r="A371" i="5"/>
  <c r="J370" i="5" a="1"/>
  <c r="J370" i="5"/>
  <c r="I370" i="5" a="1"/>
  <c r="I370" i="5" s="1"/>
  <c r="H370" i="5" a="1"/>
  <c r="H370" i="5"/>
  <c r="G370" i="5" a="1"/>
  <c r="G370" i="5" s="1"/>
  <c r="F370" i="5" a="1"/>
  <c r="F370" i="5"/>
  <c r="E370" i="5" a="1"/>
  <c r="E370" i="5" s="1"/>
  <c r="A370" i="5"/>
  <c r="J369" i="5" a="1"/>
  <c r="J369" i="5" s="1"/>
  <c r="I369" i="5" a="1"/>
  <c r="I369" i="5"/>
  <c r="H369" i="5" a="1"/>
  <c r="H369" i="5" s="1"/>
  <c r="G369" i="5" a="1"/>
  <c r="G369" i="5" s="1"/>
  <c r="F369" i="5" a="1"/>
  <c r="F369" i="5" s="1"/>
  <c r="E369" i="5" a="1"/>
  <c r="E369" i="5" s="1"/>
  <c r="A369" i="5"/>
  <c r="J368" i="5" a="1"/>
  <c r="J368" i="5" s="1"/>
  <c r="I368" i="5" a="1"/>
  <c r="I368" i="5"/>
  <c r="H368" i="5" a="1"/>
  <c r="H368" i="5" s="1"/>
  <c r="G368" i="5" a="1"/>
  <c r="G368" i="5"/>
  <c r="F368" i="5" a="1"/>
  <c r="F368" i="5" s="1"/>
  <c r="E368" i="5" a="1"/>
  <c r="E368" i="5"/>
  <c r="A368" i="5"/>
  <c r="J367" i="5" a="1"/>
  <c r="J367" i="5"/>
  <c r="I367" i="5" a="1"/>
  <c r="I367" i="5" s="1"/>
  <c r="H367" i="5" a="1"/>
  <c r="H367" i="5" s="1"/>
  <c r="G367" i="5" a="1"/>
  <c r="G367" i="5" s="1"/>
  <c r="F367" i="5" a="1"/>
  <c r="F367" i="5" s="1"/>
  <c r="E367" i="5" a="1"/>
  <c r="E367" i="5" s="1"/>
  <c r="A367" i="5"/>
  <c r="J366" i="5" a="1"/>
  <c r="J366" i="5"/>
  <c r="I366" i="5" a="1"/>
  <c r="I366" i="5" s="1"/>
  <c r="H366" i="5" a="1"/>
  <c r="H366" i="5"/>
  <c r="G366" i="5" a="1"/>
  <c r="G366" i="5" s="1"/>
  <c r="F366" i="5" a="1"/>
  <c r="F366" i="5"/>
  <c r="E366" i="5" a="1"/>
  <c r="E366" i="5" s="1"/>
  <c r="A366" i="5"/>
  <c r="J365" i="5" a="1"/>
  <c r="J365" i="5" s="1"/>
  <c r="I365" i="5" a="1"/>
  <c r="I365" i="5" s="1"/>
  <c r="H365" i="5" a="1"/>
  <c r="H365" i="5" s="1"/>
  <c r="G365" i="5" a="1"/>
  <c r="G365" i="5" s="1"/>
  <c r="F365" i="5" a="1"/>
  <c r="F365" i="5" s="1"/>
  <c r="E365" i="5" a="1"/>
  <c r="E365" i="5" s="1"/>
  <c r="A365" i="5"/>
  <c r="J364" i="5" a="1"/>
  <c r="J364" i="5" s="1"/>
  <c r="I364" i="5" a="1"/>
  <c r="I364" i="5"/>
  <c r="H364" i="5" a="1"/>
  <c r="H364" i="5" s="1"/>
  <c r="G364" i="5" a="1"/>
  <c r="G364" i="5"/>
  <c r="F364" i="5" a="1"/>
  <c r="F364" i="5" s="1"/>
  <c r="E364" i="5" a="1"/>
  <c r="E364" i="5"/>
  <c r="A364" i="5"/>
  <c r="J363" i="5" a="1"/>
  <c r="J363" i="5"/>
  <c r="I363" i="5" a="1"/>
  <c r="I363" i="5" s="1"/>
  <c r="H363" i="5" a="1"/>
  <c r="H363" i="5" s="1"/>
  <c r="G363" i="5" a="1"/>
  <c r="G363" i="5" s="1"/>
  <c r="F363" i="5" a="1"/>
  <c r="F363" i="5" s="1"/>
  <c r="E363" i="5" a="1"/>
  <c r="E363" i="5" s="1"/>
  <c r="A363" i="5"/>
  <c r="J362" i="5" a="1"/>
  <c r="J362" i="5"/>
  <c r="I362" i="5" a="1"/>
  <c r="I362" i="5" s="1"/>
  <c r="H362" i="5" a="1"/>
  <c r="H362" i="5"/>
  <c r="G362" i="5" a="1"/>
  <c r="G362" i="5" s="1"/>
  <c r="F362" i="5" a="1"/>
  <c r="F362" i="5"/>
  <c r="E362" i="5" a="1"/>
  <c r="E362" i="5" s="1"/>
  <c r="A362" i="5"/>
  <c r="J361" i="5" a="1"/>
  <c r="J361" i="5" s="1"/>
  <c r="I361" i="5" a="1"/>
  <c r="I361" i="5"/>
  <c r="H361" i="5" a="1"/>
  <c r="H361" i="5" s="1"/>
  <c r="G361" i="5" a="1"/>
  <c r="G361" i="5" s="1"/>
  <c r="F361" i="5" a="1"/>
  <c r="F361" i="5" s="1"/>
  <c r="E361" i="5" a="1"/>
  <c r="E361" i="5" s="1"/>
  <c r="A361" i="5"/>
  <c r="J360" i="5" a="1"/>
  <c r="J360" i="5" s="1"/>
  <c r="I360" i="5" a="1"/>
  <c r="I360" i="5"/>
  <c r="H360" i="5" a="1"/>
  <c r="H360" i="5" s="1"/>
  <c r="G360" i="5" a="1"/>
  <c r="G360" i="5"/>
  <c r="F360" i="5" a="1"/>
  <c r="F360" i="5" s="1"/>
  <c r="E360" i="5" a="1"/>
  <c r="E360" i="5"/>
  <c r="A360" i="5"/>
  <c r="J359" i="5" a="1"/>
  <c r="J359" i="5"/>
  <c r="I359" i="5" a="1"/>
  <c r="I359" i="5" s="1"/>
  <c r="H359" i="5" a="1"/>
  <c r="H359" i="5" s="1"/>
  <c r="G359" i="5" a="1"/>
  <c r="G359" i="5" s="1"/>
  <c r="F359" i="5" a="1"/>
  <c r="F359" i="5" s="1"/>
  <c r="E359" i="5" a="1"/>
  <c r="E359" i="5" s="1"/>
  <c r="A359" i="5"/>
  <c r="J358" i="5" a="1"/>
  <c r="J358" i="5"/>
  <c r="I358" i="5" a="1"/>
  <c r="I358" i="5" s="1"/>
  <c r="H358" i="5" a="1"/>
  <c r="H358" i="5"/>
  <c r="G358" i="5" a="1"/>
  <c r="G358" i="5" s="1"/>
  <c r="F358" i="5" a="1"/>
  <c r="F358" i="5"/>
  <c r="E358" i="5" a="1"/>
  <c r="E358" i="5" s="1"/>
  <c r="A358" i="5"/>
  <c r="J357" i="5" a="1"/>
  <c r="J357" i="5" s="1"/>
  <c r="I357" i="5" a="1"/>
  <c r="I357" i="5"/>
  <c r="H357" i="5" a="1"/>
  <c r="H357" i="5" s="1"/>
  <c r="G357" i="5" a="1"/>
  <c r="G357" i="5" s="1"/>
  <c r="F357" i="5" a="1"/>
  <c r="F357" i="5" s="1"/>
  <c r="E357" i="5" a="1"/>
  <c r="E357" i="5" s="1"/>
  <c r="A357" i="5"/>
  <c r="J356" i="5" a="1"/>
  <c r="J356" i="5" s="1"/>
  <c r="I356" i="5" a="1"/>
  <c r="I356" i="5"/>
  <c r="H356" i="5" a="1"/>
  <c r="H356" i="5" s="1"/>
  <c r="G356" i="5" a="1"/>
  <c r="G356" i="5"/>
  <c r="F356" i="5" a="1"/>
  <c r="F356" i="5" s="1"/>
  <c r="E356" i="5" a="1"/>
  <c r="E356" i="5"/>
  <c r="A356" i="5"/>
  <c r="J355" i="5" a="1"/>
  <c r="J355" i="5"/>
  <c r="I355" i="5" a="1"/>
  <c r="I355" i="5" s="1"/>
  <c r="H355" i="5" a="1"/>
  <c r="H355" i="5" s="1"/>
  <c r="G355" i="5" a="1"/>
  <c r="G355" i="5" s="1"/>
  <c r="F355" i="5" a="1"/>
  <c r="F355" i="5" s="1"/>
  <c r="E355" i="5" a="1"/>
  <c r="E355" i="5" s="1"/>
  <c r="A355" i="5"/>
  <c r="J354" i="5" a="1"/>
  <c r="J354" i="5"/>
  <c r="I354" i="5" a="1"/>
  <c r="I354" i="5" s="1"/>
  <c r="H354" i="5" a="1"/>
  <c r="H354" i="5"/>
  <c r="G354" i="5" a="1"/>
  <c r="G354" i="5" s="1"/>
  <c r="F354" i="5" a="1"/>
  <c r="F354" i="5"/>
  <c r="E354" i="5" a="1"/>
  <c r="E354" i="5" s="1"/>
  <c r="A354" i="5"/>
  <c r="J353" i="5" a="1"/>
  <c r="J353" i="5" s="1"/>
  <c r="I353" i="5" a="1"/>
  <c r="I353" i="5"/>
  <c r="H353" i="5" a="1"/>
  <c r="H353" i="5" s="1"/>
  <c r="G353" i="5" a="1"/>
  <c r="G353" i="5" s="1"/>
  <c r="F353" i="5" a="1"/>
  <c r="F353" i="5" s="1"/>
  <c r="E353" i="5" a="1"/>
  <c r="E353" i="5" s="1"/>
  <c r="A353" i="5"/>
  <c r="J352" i="5" a="1"/>
  <c r="J352" i="5" s="1"/>
  <c r="I352" i="5" a="1"/>
  <c r="I352" i="5"/>
  <c r="H352" i="5" a="1"/>
  <c r="H352" i="5" s="1"/>
  <c r="G352" i="5" a="1"/>
  <c r="G352" i="5"/>
  <c r="F352" i="5" a="1"/>
  <c r="F352" i="5" s="1"/>
  <c r="E352" i="5" a="1"/>
  <c r="E352" i="5"/>
  <c r="A352" i="5"/>
  <c r="J351" i="5" a="1"/>
  <c r="J351" i="5"/>
  <c r="I351" i="5" a="1"/>
  <c r="I351" i="5" s="1"/>
  <c r="H351" i="5" a="1"/>
  <c r="H351" i="5" s="1"/>
  <c r="G351" i="5" a="1"/>
  <c r="G351" i="5" s="1"/>
  <c r="F351" i="5" a="1"/>
  <c r="F351" i="5" s="1"/>
  <c r="E351" i="5" a="1"/>
  <c r="E351" i="5" s="1"/>
  <c r="A351" i="5"/>
  <c r="J350" i="5" a="1"/>
  <c r="J350" i="5"/>
  <c r="I350" i="5" a="1"/>
  <c r="I350" i="5" s="1"/>
  <c r="H350" i="5" a="1"/>
  <c r="H350" i="5"/>
  <c r="G350" i="5" a="1"/>
  <c r="G350" i="5" s="1"/>
  <c r="F350" i="5" a="1"/>
  <c r="F350" i="5"/>
  <c r="E350" i="5" a="1"/>
  <c r="E350" i="5" s="1"/>
  <c r="A350" i="5"/>
  <c r="J349" i="5" a="1"/>
  <c r="J349" i="5" s="1"/>
  <c r="I349" i="5" a="1"/>
  <c r="I349" i="5"/>
  <c r="H349" i="5" a="1"/>
  <c r="H349" i="5" s="1"/>
  <c r="G349" i="5" a="1"/>
  <c r="G349" i="5" s="1"/>
  <c r="F349" i="5" a="1"/>
  <c r="F349" i="5" s="1"/>
  <c r="E349" i="5" a="1"/>
  <c r="E349" i="5" s="1"/>
  <c r="A349" i="5"/>
  <c r="J348" i="5" a="1"/>
  <c r="J348" i="5" s="1"/>
  <c r="I348" i="5" a="1"/>
  <c r="I348" i="5"/>
  <c r="H348" i="5" a="1"/>
  <c r="H348" i="5" s="1"/>
  <c r="G348" i="5" a="1"/>
  <c r="G348" i="5"/>
  <c r="F348" i="5" a="1"/>
  <c r="F348" i="5" s="1"/>
  <c r="E348" i="5" a="1"/>
  <c r="E348" i="5"/>
  <c r="A348" i="5"/>
  <c r="J347" i="5" a="1"/>
  <c r="J347" i="5"/>
  <c r="I347" i="5" a="1"/>
  <c r="I347" i="5" s="1"/>
  <c r="H347" i="5" a="1"/>
  <c r="H347" i="5" s="1"/>
  <c r="G347" i="5" a="1"/>
  <c r="G347" i="5" s="1"/>
  <c r="F347" i="5" a="1"/>
  <c r="F347" i="5" s="1"/>
  <c r="E347" i="5" a="1"/>
  <c r="E347" i="5" s="1"/>
  <c r="A347" i="5"/>
  <c r="J346" i="5" a="1"/>
  <c r="J346" i="5"/>
  <c r="I346" i="5" a="1"/>
  <c r="I346" i="5" s="1"/>
  <c r="H346" i="5" a="1"/>
  <c r="H346" i="5"/>
  <c r="G346" i="5" a="1"/>
  <c r="G346" i="5" s="1"/>
  <c r="F346" i="5" a="1"/>
  <c r="F346" i="5"/>
  <c r="E346" i="5" a="1"/>
  <c r="E346" i="5" s="1"/>
  <c r="A346" i="5"/>
  <c r="J345" i="5" a="1"/>
  <c r="J345" i="5" s="1"/>
  <c r="I345" i="5" a="1"/>
  <c r="I345" i="5"/>
  <c r="H345" i="5" a="1"/>
  <c r="H345" i="5" s="1"/>
  <c r="G345" i="5" a="1"/>
  <c r="G345" i="5" s="1"/>
  <c r="F345" i="5" a="1"/>
  <c r="F345" i="5" s="1"/>
  <c r="E345" i="5" a="1"/>
  <c r="E345" i="5" s="1"/>
  <c r="A345" i="5"/>
  <c r="J344" i="5" a="1"/>
  <c r="J344" i="5" s="1"/>
  <c r="I344" i="5" a="1"/>
  <c r="I344" i="5"/>
  <c r="H344" i="5" a="1"/>
  <c r="H344" i="5" s="1"/>
  <c r="G344" i="5" a="1"/>
  <c r="G344" i="5"/>
  <c r="F344" i="5" a="1"/>
  <c r="F344" i="5" s="1"/>
  <c r="E344" i="5" a="1"/>
  <c r="E344" i="5"/>
  <c r="A344" i="5"/>
  <c r="J343" i="5" a="1"/>
  <c r="J343" i="5"/>
  <c r="I343" i="5" a="1"/>
  <c r="I343" i="5" s="1"/>
  <c r="H343" i="5" a="1"/>
  <c r="H343" i="5" s="1"/>
  <c r="G343" i="5" a="1"/>
  <c r="G343" i="5" s="1"/>
  <c r="F343" i="5" a="1"/>
  <c r="F343" i="5" s="1"/>
  <c r="E343" i="5" a="1"/>
  <c r="E343" i="5" s="1"/>
  <c r="A343" i="5"/>
  <c r="J342" i="5" a="1"/>
  <c r="J342" i="5"/>
  <c r="I342" i="5" a="1"/>
  <c r="I342" i="5" s="1"/>
  <c r="H342" i="5" a="1"/>
  <c r="H342" i="5"/>
  <c r="G342" i="5" a="1"/>
  <c r="G342" i="5" s="1"/>
  <c r="F342" i="5" a="1"/>
  <c r="F342" i="5"/>
  <c r="E342" i="5" a="1"/>
  <c r="E342" i="5" s="1"/>
  <c r="A342" i="5"/>
  <c r="J341" i="5" a="1"/>
  <c r="J341" i="5" s="1"/>
  <c r="I341" i="5" a="1"/>
  <c r="I341" i="5"/>
  <c r="H341" i="5" a="1"/>
  <c r="H341" i="5" s="1"/>
  <c r="G341" i="5" a="1"/>
  <c r="G341" i="5" s="1"/>
  <c r="F341" i="5" a="1"/>
  <c r="F341" i="5" s="1"/>
  <c r="E341" i="5" a="1"/>
  <c r="E341" i="5" s="1"/>
  <c r="A341" i="5"/>
  <c r="J340" i="5" a="1"/>
  <c r="J340" i="5" s="1"/>
  <c r="I340" i="5" a="1"/>
  <c r="I340" i="5"/>
  <c r="H340" i="5" a="1"/>
  <c r="H340" i="5" s="1"/>
  <c r="G340" i="5" a="1"/>
  <c r="G340" i="5"/>
  <c r="F340" i="5" a="1"/>
  <c r="F340" i="5" s="1"/>
  <c r="E340" i="5" a="1"/>
  <c r="E340" i="5"/>
  <c r="A340" i="5"/>
  <c r="J339" i="5" a="1"/>
  <c r="J339" i="5"/>
  <c r="I339" i="5" a="1"/>
  <c r="I339" i="5" s="1"/>
  <c r="H339" i="5" a="1"/>
  <c r="H339" i="5" s="1"/>
  <c r="G339" i="5" a="1"/>
  <c r="G339" i="5" s="1"/>
  <c r="F339" i="5" a="1"/>
  <c r="F339" i="5" s="1"/>
  <c r="E339" i="5" a="1"/>
  <c r="E339" i="5" s="1"/>
  <c r="A339" i="5"/>
  <c r="J338" i="5" a="1"/>
  <c r="J338" i="5"/>
  <c r="I338" i="5" a="1"/>
  <c r="I338" i="5" s="1"/>
  <c r="H338" i="5" a="1"/>
  <c r="H338" i="5"/>
  <c r="G338" i="5" a="1"/>
  <c r="G338" i="5" s="1"/>
  <c r="F338" i="5" a="1"/>
  <c r="F338" i="5"/>
  <c r="E338" i="5" a="1"/>
  <c r="E338" i="5" s="1"/>
  <c r="A338" i="5"/>
  <c r="J337" i="5" a="1"/>
  <c r="J337" i="5" s="1"/>
  <c r="I337" i="5" a="1"/>
  <c r="I337" i="5"/>
  <c r="H337" i="5" a="1"/>
  <c r="H337" i="5" s="1"/>
  <c r="G337" i="5" a="1"/>
  <c r="G337" i="5" s="1"/>
  <c r="F337" i="5" a="1"/>
  <c r="F337" i="5" s="1"/>
  <c r="E337" i="5" a="1"/>
  <c r="E337" i="5" s="1"/>
  <c r="A337" i="5"/>
  <c r="J336" i="5" a="1"/>
  <c r="J336" i="5" s="1"/>
  <c r="I336" i="5" a="1"/>
  <c r="I336" i="5"/>
  <c r="H336" i="5" a="1"/>
  <c r="H336" i="5" s="1"/>
  <c r="G336" i="5" a="1"/>
  <c r="G336" i="5"/>
  <c r="F336" i="5" a="1"/>
  <c r="F336" i="5" s="1"/>
  <c r="E336" i="5" a="1"/>
  <c r="E336" i="5"/>
  <c r="A336" i="5"/>
  <c r="J335" i="5" a="1"/>
  <c r="J335" i="5"/>
  <c r="I335" i="5" a="1"/>
  <c r="I335" i="5" s="1"/>
  <c r="H335" i="5" a="1"/>
  <c r="H335" i="5" s="1"/>
  <c r="G335" i="5" a="1"/>
  <c r="G335" i="5" s="1"/>
  <c r="F335" i="5" a="1"/>
  <c r="F335" i="5" s="1"/>
  <c r="E335" i="5" a="1"/>
  <c r="E335" i="5" s="1"/>
  <c r="A335" i="5"/>
  <c r="J334" i="5" a="1"/>
  <c r="J334" i="5"/>
  <c r="I334" i="5" a="1"/>
  <c r="I334" i="5" s="1"/>
  <c r="H334" i="5" a="1"/>
  <c r="H334" i="5"/>
  <c r="G334" i="5" a="1"/>
  <c r="G334" i="5" s="1"/>
  <c r="F334" i="5" a="1"/>
  <c r="F334" i="5"/>
  <c r="E334" i="5" a="1"/>
  <c r="E334" i="5" s="1"/>
  <c r="A334" i="5"/>
  <c r="J333" i="5" a="1"/>
  <c r="J333" i="5" s="1"/>
  <c r="I333" i="5" a="1"/>
  <c r="I333" i="5"/>
  <c r="H333" i="5" a="1"/>
  <c r="H333" i="5" s="1"/>
  <c r="G333" i="5" a="1"/>
  <c r="G333" i="5" s="1"/>
  <c r="F333" i="5" a="1"/>
  <c r="F333" i="5" s="1"/>
  <c r="E333" i="5" a="1"/>
  <c r="E333" i="5" s="1"/>
  <c r="A333" i="5"/>
  <c r="J332" i="5" a="1"/>
  <c r="J332" i="5" s="1"/>
  <c r="I332" i="5" a="1"/>
  <c r="I332" i="5"/>
  <c r="H332" i="5" a="1"/>
  <c r="H332" i="5" s="1"/>
  <c r="G332" i="5" a="1"/>
  <c r="G332" i="5"/>
  <c r="F332" i="5" a="1"/>
  <c r="F332" i="5" s="1"/>
  <c r="E332" i="5" a="1"/>
  <c r="E332" i="5"/>
  <c r="A332" i="5"/>
  <c r="J331" i="5" a="1"/>
  <c r="J331" i="5"/>
  <c r="I331" i="5" a="1"/>
  <c r="I331" i="5" s="1"/>
  <c r="H331" i="5" a="1"/>
  <c r="H331" i="5" s="1"/>
  <c r="G331" i="5" a="1"/>
  <c r="G331" i="5" s="1"/>
  <c r="F331" i="5" a="1"/>
  <c r="F331" i="5" s="1"/>
  <c r="E331" i="5" a="1"/>
  <c r="E331" i="5" s="1"/>
  <c r="A331" i="5"/>
  <c r="J330" i="5" a="1"/>
  <c r="J330" i="5"/>
  <c r="I330" i="5" a="1"/>
  <c r="I330" i="5" s="1"/>
  <c r="H330" i="5" a="1"/>
  <c r="H330" i="5"/>
  <c r="G330" i="5" a="1"/>
  <c r="G330" i="5" s="1"/>
  <c r="F330" i="5" a="1"/>
  <c r="F330" i="5"/>
  <c r="E330" i="5" a="1"/>
  <c r="E330" i="5" s="1"/>
  <c r="A330" i="5"/>
  <c r="J329" i="5" a="1"/>
  <c r="J329" i="5" s="1"/>
  <c r="I329" i="5" a="1"/>
  <c r="I329" i="5"/>
  <c r="H329" i="5" a="1"/>
  <c r="H329" i="5" s="1"/>
  <c r="G329" i="5" a="1"/>
  <c r="G329" i="5" s="1"/>
  <c r="F329" i="5" a="1"/>
  <c r="F329" i="5" s="1"/>
  <c r="E329" i="5" a="1"/>
  <c r="E329" i="5" s="1"/>
  <c r="A329" i="5"/>
  <c r="J328" i="5" a="1"/>
  <c r="J328" i="5" s="1"/>
  <c r="I328" i="5" a="1"/>
  <c r="I328" i="5"/>
  <c r="H328" i="5" a="1"/>
  <c r="H328" i="5" s="1"/>
  <c r="G328" i="5" a="1"/>
  <c r="G328" i="5"/>
  <c r="F328" i="5" a="1"/>
  <c r="F328" i="5" s="1"/>
  <c r="E328" i="5" a="1"/>
  <c r="E328" i="5"/>
  <c r="A328" i="5"/>
  <c r="J327" i="5" a="1"/>
  <c r="J327" i="5"/>
  <c r="I327" i="5" a="1"/>
  <c r="I327" i="5" s="1"/>
  <c r="H327" i="5" a="1"/>
  <c r="H327" i="5" s="1"/>
  <c r="G327" i="5" a="1"/>
  <c r="G327" i="5" s="1"/>
  <c r="F327" i="5" a="1"/>
  <c r="F327" i="5" s="1"/>
  <c r="E327" i="5" a="1"/>
  <c r="E327" i="5" s="1"/>
  <c r="A327" i="5"/>
  <c r="J326" i="5" a="1"/>
  <c r="J326" i="5"/>
  <c r="I326" i="5" a="1"/>
  <c r="I326" i="5" s="1"/>
  <c r="H326" i="5" a="1"/>
  <c r="H326" i="5"/>
  <c r="G326" i="5" a="1"/>
  <c r="G326" i="5" s="1"/>
  <c r="F326" i="5" a="1"/>
  <c r="F326" i="5"/>
  <c r="E326" i="5" a="1"/>
  <c r="E326" i="5" s="1"/>
  <c r="A326" i="5"/>
  <c r="J325" i="5" a="1"/>
  <c r="J325" i="5" s="1"/>
  <c r="I325" i="5" a="1"/>
  <c r="I325" i="5"/>
  <c r="H325" i="5" a="1"/>
  <c r="H325" i="5" s="1"/>
  <c r="G325" i="5" a="1"/>
  <c r="G325" i="5" s="1"/>
  <c r="F325" i="5" a="1"/>
  <c r="F325" i="5" s="1"/>
  <c r="E325" i="5" a="1"/>
  <c r="E325" i="5" s="1"/>
  <c r="A325" i="5"/>
  <c r="J324" i="5" a="1"/>
  <c r="J324" i="5" s="1"/>
  <c r="I324" i="5" a="1"/>
  <c r="I324" i="5"/>
  <c r="H324" i="5" a="1"/>
  <c r="H324" i="5" s="1"/>
  <c r="G324" i="5" a="1"/>
  <c r="G324" i="5"/>
  <c r="F324" i="5" a="1"/>
  <c r="F324" i="5" s="1"/>
  <c r="E324" i="5" a="1"/>
  <c r="E324" i="5"/>
  <c r="A324" i="5"/>
  <c r="J323" i="5" a="1"/>
  <c r="J323" i="5"/>
  <c r="I323" i="5" a="1"/>
  <c r="I323" i="5" s="1"/>
  <c r="H323" i="5" a="1"/>
  <c r="H323" i="5" s="1"/>
  <c r="G323" i="5" a="1"/>
  <c r="G323" i="5" s="1"/>
  <c r="F323" i="5" a="1"/>
  <c r="F323" i="5" s="1"/>
  <c r="E323" i="5" a="1"/>
  <c r="E323" i="5" s="1"/>
  <c r="A323" i="5"/>
  <c r="J322" i="5" a="1"/>
  <c r="J322" i="5"/>
  <c r="I322" i="5" a="1"/>
  <c r="I322" i="5" s="1"/>
  <c r="H322" i="5" a="1"/>
  <c r="H322" i="5"/>
  <c r="G322" i="5" a="1"/>
  <c r="G322" i="5" s="1"/>
  <c r="F322" i="5" a="1"/>
  <c r="F322" i="5"/>
  <c r="E322" i="5" a="1"/>
  <c r="E322" i="5" s="1"/>
  <c r="A322" i="5"/>
  <c r="J321" i="5" a="1"/>
  <c r="J321" i="5" s="1"/>
  <c r="I321" i="5" a="1"/>
  <c r="I321" i="5"/>
  <c r="H321" i="5" a="1"/>
  <c r="H321" i="5" s="1"/>
  <c r="G321" i="5" a="1"/>
  <c r="G321" i="5" s="1"/>
  <c r="F321" i="5" a="1"/>
  <c r="F321" i="5" s="1"/>
  <c r="E321" i="5" a="1"/>
  <c r="E321" i="5" s="1"/>
  <c r="A321" i="5"/>
  <c r="J320" i="5" a="1"/>
  <c r="J320" i="5" s="1"/>
  <c r="I320" i="5" a="1"/>
  <c r="I320" i="5"/>
  <c r="H320" i="5" a="1"/>
  <c r="H320" i="5" s="1"/>
  <c r="G320" i="5" a="1"/>
  <c r="G320" i="5"/>
  <c r="F320" i="5" a="1"/>
  <c r="F320" i="5" s="1"/>
  <c r="E320" i="5" a="1"/>
  <c r="E320" i="5"/>
  <c r="A320" i="5"/>
  <c r="J319" i="5" a="1"/>
  <c r="J319" i="5"/>
  <c r="I319" i="5" a="1"/>
  <c r="I319" i="5" s="1"/>
  <c r="H319" i="5" a="1"/>
  <c r="H319" i="5" s="1"/>
  <c r="G319" i="5" a="1"/>
  <c r="G319" i="5" s="1"/>
  <c r="F319" i="5" a="1"/>
  <c r="F319" i="5" s="1"/>
  <c r="E319" i="5" a="1"/>
  <c r="E319" i="5" s="1"/>
  <c r="A319" i="5"/>
  <c r="J318" i="5" a="1"/>
  <c r="J318" i="5"/>
  <c r="I318" i="5" a="1"/>
  <c r="I318" i="5" s="1"/>
  <c r="H318" i="5" a="1"/>
  <c r="H318" i="5"/>
  <c r="G318" i="5" a="1"/>
  <c r="G318" i="5" s="1"/>
  <c r="F318" i="5" a="1"/>
  <c r="F318" i="5"/>
  <c r="E318" i="5" a="1"/>
  <c r="E318" i="5" s="1"/>
  <c r="A318" i="5"/>
  <c r="J317" i="5" a="1"/>
  <c r="J317" i="5" s="1"/>
  <c r="I317" i="5" a="1"/>
  <c r="I317" i="5"/>
  <c r="H317" i="5" a="1"/>
  <c r="H317" i="5" s="1"/>
  <c r="G317" i="5" a="1"/>
  <c r="G317" i="5" s="1"/>
  <c r="F317" i="5" a="1"/>
  <c r="F317" i="5" s="1"/>
  <c r="E317" i="5" a="1"/>
  <c r="E317" i="5" s="1"/>
  <c r="A317" i="5"/>
  <c r="J316" i="5" a="1"/>
  <c r="J316" i="5" s="1"/>
  <c r="I316" i="5" a="1"/>
  <c r="I316" i="5"/>
  <c r="H316" i="5" a="1"/>
  <c r="H316" i="5" s="1"/>
  <c r="G316" i="5" a="1"/>
  <c r="G316" i="5"/>
  <c r="F316" i="5" a="1"/>
  <c r="F316" i="5" s="1"/>
  <c r="E316" i="5" a="1"/>
  <c r="E316" i="5"/>
  <c r="A316" i="5"/>
  <c r="J315" i="5" a="1"/>
  <c r="J315" i="5"/>
  <c r="I315" i="5" a="1"/>
  <c r="I315" i="5" s="1"/>
  <c r="H315" i="5" a="1"/>
  <c r="H315" i="5" s="1"/>
  <c r="G315" i="5" a="1"/>
  <c r="G315" i="5" s="1"/>
  <c r="F315" i="5" a="1"/>
  <c r="F315" i="5" s="1"/>
  <c r="E315" i="5" a="1"/>
  <c r="E315" i="5" s="1"/>
  <c r="A315" i="5"/>
  <c r="J314" i="5" a="1"/>
  <c r="J314" i="5"/>
  <c r="I314" i="5" a="1"/>
  <c r="I314" i="5" s="1"/>
  <c r="H314" i="5" a="1"/>
  <c r="H314" i="5"/>
  <c r="G314" i="5" a="1"/>
  <c r="G314" i="5" s="1"/>
  <c r="F314" i="5" a="1"/>
  <c r="F314" i="5"/>
  <c r="E314" i="5" a="1"/>
  <c r="E314" i="5" s="1"/>
  <c r="A314" i="5"/>
  <c r="J313" i="5" a="1"/>
  <c r="J313" i="5" s="1"/>
  <c r="I313" i="5" a="1"/>
  <c r="I313" i="5"/>
  <c r="H313" i="5" a="1"/>
  <c r="H313" i="5" s="1"/>
  <c r="G313" i="5" a="1"/>
  <c r="G313" i="5" s="1"/>
  <c r="F313" i="5" a="1"/>
  <c r="F313" i="5" s="1"/>
  <c r="E313" i="5" a="1"/>
  <c r="E313" i="5" s="1"/>
  <c r="A313" i="5"/>
  <c r="J312" i="5" a="1"/>
  <c r="J312" i="5" s="1"/>
  <c r="I312" i="5" a="1"/>
  <c r="I312" i="5"/>
  <c r="H312" i="5" a="1"/>
  <c r="H312" i="5" s="1"/>
  <c r="G312" i="5" a="1"/>
  <c r="G312" i="5"/>
  <c r="F312" i="5" a="1"/>
  <c r="F312" i="5" s="1"/>
  <c r="E312" i="5" a="1"/>
  <c r="E312" i="5"/>
  <c r="A312" i="5"/>
  <c r="J311" i="5" a="1"/>
  <c r="J311" i="5"/>
  <c r="I311" i="5" a="1"/>
  <c r="I311" i="5" s="1"/>
  <c r="H311" i="5" a="1"/>
  <c r="H311" i="5" s="1"/>
  <c r="G311" i="5" a="1"/>
  <c r="G311" i="5" s="1"/>
  <c r="F311" i="5" a="1"/>
  <c r="F311" i="5" s="1"/>
  <c r="E311" i="5" a="1"/>
  <c r="E311" i="5" s="1"/>
  <c r="A311" i="5"/>
  <c r="J310" i="5" a="1"/>
  <c r="J310" i="5"/>
  <c r="I310" i="5" a="1"/>
  <c r="I310" i="5" s="1"/>
  <c r="H310" i="5" a="1"/>
  <c r="H310" i="5"/>
  <c r="G310" i="5" a="1"/>
  <c r="G310" i="5" s="1"/>
  <c r="F310" i="5" a="1"/>
  <c r="F310" i="5"/>
  <c r="E310" i="5" a="1"/>
  <c r="E310" i="5" s="1"/>
  <c r="A310" i="5"/>
  <c r="J309" i="5" a="1"/>
  <c r="J309" i="5" s="1"/>
  <c r="I309" i="5" a="1"/>
  <c r="I309" i="5"/>
  <c r="H309" i="5" a="1"/>
  <c r="H309" i="5" s="1"/>
  <c r="G309" i="5" a="1"/>
  <c r="G309" i="5" s="1"/>
  <c r="F309" i="5" a="1"/>
  <c r="F309" i="5" s="1"/>
  <c r="E309" i="5" a="1"/>
  <c r="E309" i="5" s="1"/>
  <c r="A309" i="5"/>
  <c r="J308" i="5" a="1"/>
  <c r="J308" i="5" s="1"/>
  <c r="I308" i="5" a="1"/>
  <c r="I308" i="5"/>
  <c r="H308" i="5" a="1"/>
  <c r="H308" i="5" s="1"/>
  <c r="G308" i="5" a="1"/>
  <c r="G308" i="5"/>
  <c r="F308" i="5" a="1"/>
  <c r="F308" i="5" s="1"/>
  <c r="E308" i="5" a="1"/>
  <c r="E308" i="5"/>
  <c r="A308" i="5"/>
  <c r="J307" i="5" a="1"/>
  <c r="J307" i="5"/>
  <c r="I307" i="5" a="1"/>
  <c r="I307" i="5" s="1"/>
  <c r="H307" i="5" a="1"/>
  <c r="H307" i="5" s="1"/>
  <c r="G307" i="5" a="1"/>
  <c r="G307" i="5" s="1"/>
  <c r="F307" i="5" a="1"/>
  <c r="F307" i="5" s="1"/>
  <c r="E307" i="5" a="1"/>
  <c r="E307" i="5" s="1"/>
  <c r="A307" i="5"/>
  <c r="J306" i="5" a="1"/>
  <c r="J306" i="5"/>
  <c r="I306" i="5" a="1"/>
  <c r="I306" i="5" s="1"/>
  <c r="H306" i="5" a="1"/>
  <c r="H306" i="5"/>
  <c r="G306" i="5" a="1"/>
  <c r="G306" i="5" s="1"/>
  <c r="F306" i="5" a="1"/>
  <c r="F306" i="5"/>
  <c r="E306" i="5" a="1"/>
  <c r="E306" i="5" s="1"/>
  <c r="A306" i="5"/>
  <c r="J305" i="5" a="1"/>
  <c r="J305" i="5" s="1"/>
  <c r="I305" i="5" a="1"/>
  <c r="I305" i="5"/>
  <c r="H305" i="5" a="1"/>
  <c r="H305" i="5" s="1"/>
  <c r="G305" i="5" a="1"/>
  <c r="G305" i="5" s="1"/>
  <c r="F305" i="5" a="1"/>
  <c r="F305" i="5" s="1"/>
  <c r="E305" i="5" a="1"/>
  <c r="E305" i="5" s="1"/>
  <c r="A305" i="5"/>
  <c r="J304" i="5" a="1"/>
  <c r="J304" i="5" s="1"/>
  <c r="I304" i="5" a="1"/>
  <c r="I304" i="5"/>
  <c r="H304" i="5" a="1"/>
  <c r="H304" i="5" s="1"/>
  <c r="G304" i="5" a="1"/>
  <c r="G304" i="5"/>
  <c r="F304" i="5" a="1"/>
  <c r="F304" i="5" s="1"/>
  <c r="E304" i="5" a="1"/>
  <c r="E304" i="5"/>
  <c r="A304" i="5"/>
  <c r="J303" i="5" a="1"/>
  <c r="J303" i="5"/>
  <c r="I303" i="5" a="1"/>
  <c r="I303" i="5" s="1"/>
  <c r="H303" i="5" a="1"/>
  <c r="H303" i="5" s="1"/>
  <c r="G303" i="5" a="1"/>
  <c r="G303" i="5" s="1"/>
  <c r="F303" i="5" a="1"/>
  <c r="F303" i="5" s="1"/>
  <c r="E303" i="5" a="1"/>
  <c r="E303" i="5" s="1"/>
  <c r="A303" i="5"/>
  <c r="J302" i="5" a="1"/>
  <c r="J302" i="5"/>
  <c r="I302" i="5" a="1"/>
  <c r="I302" i="5" s="1"/>
  <c r="H302" i="5" a="1"/>
  <c r="H302" i="5"/>
  <c r="G302" i="5" a="1"/>
  <c r="G302" i="5" s="1"/>
  <c r="F302" i="5" a="1"/>
  <c r="F302" i="5"/>
  <c r="E302" i="5" a="1"/>
  <c r="E302" i="5" s="1"/>
  <c r="A302" i="5"/>
  <c r="J301" i="5" a="1"/>
  <c r="J301" i="5" s="1"/>
  <c r="I301" i="5" a="1"/>
  <c r="I301" i="5"/>
  <c r="H301" i="5" a="1"/>
  <c r="H301" i="5" s="1"/>
  <c r="G301" i="5" a="1"/>
  <c r="G301" i="5" s="1"/>
  <c r="F301" i="5" a="1"/>
  <c r="F301" i="5" s="1"/>
  <c r="E301" i="5" a="1"/>
  <c r="E301" i="5" s="1"/>
  <c r="A301" i="5"/>
  <c r="J300" i="5" a="1"/>
  <c r="J300" i="5" s="1"/>
  <c r="I300" i="5" a="1"/>
  <c r="I300" i="5"/>
  <c r="H300" i="5" a="1"/>
  <c r="H300" i="5" s="1"/>
  <c r="G300" i="5" a="1"/>
  <c r="G300" i="5"/>
  <c r="F300" i="5" a="1"/>
  <c r="F300" i="5" s="1"/>
  <c r="E300" i="5" a="1"/>
  <c r="E300" i="5"/>
  <c r="A300" i="5"/>
  <c r="J299" i="5" a="1"/>
  <c r="J299" i="5"/>
  <c r="I299" i="5" a="1"/>
  <c r="I299" i="5" s="1"/>
  <c r="H299" i="5" a="1"/>
  <c r="H299" i="5" s="1"/>
  <c r="G299" i="5" a="1"/>
  <c r="G299" i="5" s="1"/>
  <c r="F299" i="5" a="1"/>
  <c r="F299" i="5" s="1"/>
  <c r="E299" i="5" a="1"/>
  <c r="E299" i="5" s="1"/>
  <c r="A299" i="5"/>
  <c r="J298" i="5" a="1"/>
  <c r="J298" i="5"/>
  <c r="I298" i="5" a="1"/>
  <c r="I298" i="5" s="1"/>
  <c r="H298" i="5" a="1"/>
  <c r="H298" i="5"/>
  <c r="G298" i="5" a="1"/>
  <c r="G298" i="5" s="1"/>
  <c r="F298" i="5" a="1"/>
  <c r="F298" i="5"/>
  <c r="E298" i="5" a="1"/>
  <c r="E298" i="5" s="1"/>
  <c r="A298" i="5"/>
  <c r="J297" i="5" a="1"/>
  <c r="J297" i="5" s="1"/>
  <c r="I297" i="5" a="1"/>
  <c r="I297" i="5"/>
  <c r="H297" i="5" a="1"/>
  <c r="H297" i="5" s="1"/>
  <c r="G297" i="5" a="1"/>
  <c r="G297" i="5" s="1"/>
  <c r="F297" i="5" a="1"/>
  <c r="F297" i="5" s="1"/>
  <c r="E297" i="5" a="1"/>
  <c r="E297" i="5" s="1"/>
  <c r="A297" i="5"/>
  <c r="J296" i="5" a="1"/>
  <c r="J296" i="5" s="1"/>
  <c r="I296" i="5" a="1"/>
  <c r="I296" i="5"/>
  <c r="H296" i="5" a="1"/>
  <c r="H296" i="5" s="1"/>
  <c r="G296" i="5" a="1"/>
  <c r="G296" i="5"/>
  <c r="F296" i="5" a="1"/>
  <c r="F296" i="5" s="1"/>
  <c r="E296" i="5" a="1"/>
  <c r="E296" i="5"/>
  <c r="A296" i="5"/>
  <c r="J295" i="5" a="1"/>
  <c r="J295" i="5"/>
  <c r="I295" i="5" a="1"/>
  <c r="I295" i="5" s="1"/>
  <c r="H295" i="5" a="1"/>
  <c r="H295" i="5" s="1"/>
  <c r="G295" i="5" a="1"/>
  <c r="G295" i="5" s="1"/>
  <c r="F295" i="5" a="1"/>
  <c r="F295" i="5" s="1"/>
  <c r="E295" i="5" a="1"/>
  <c r="E295" i="5" s="1"/>
  <c r="A295" i="5"/>
  <c r="J294" i="5" a="1"/>
  <c r="J294" i="5"/>
  <c r="I294" i="5" a="1"/>
  <c r="I294" i="5" s="1"/>
  <c r="H294" i="5" a="1"/>
  <c r="H294" i="5"/>
  <c r="G294" i="5" a="1"/>
  <c r="G294" i="5" s="1"/>
  <c r="F294" i="5" a="1"/>
  <c r="F294" i="5"/>
  <c r="E294" i="5" a="1"/>
  <c r="E294" i="5" s="1"/>
  <c r="A294" i="5"/>
  <c r="J293" i="5" a="1"/>
  <c r="J293" i="5" s="1"/>
  <c r="I293" i="5" a="1"/>
  <c r="I293" i="5"/>
  <c r="H293" i="5" a="1"/>
  <c r="H293" i="5" s="1"/>
  <c r="G293" i="5" a="1"/>
  <c r="G293" i="5" s="1"/>
  <c r="F293" i="5" a="1"/>
  <c r="F293" i="5" s="1"/>
  <c r="E293" i="5" a="1"/>
  <c r="E293" i="5" s="1"/>
  <c r="A293" i="5"/>
  <c r="J292" i="5" a="1"/>
  <c r="J292" i="5" s="1"/>
  <c r="I292" i="5" a="1"/>
  <c r="I292" i="5"/>
  <c r="H292" i="5" a="1"/>
  <c r="H292" i="5" s="1"/>
  <c r="G292" i="5" a="1"/>
  <c r="G292" i="5"/>
  <c r="F292" i="5" a="1"/>
  <c r="F292" i="5" s="1"/>
  <c r="E292" i="5" a="1"/>
  <c r="E292" i="5"/>
  <c r="A292" i="5"/>
  <c r="J291" i="5" a="1"/>
  <c r="J291" i="5"/>
  <c r="I291" i="5" a="1"/>
  <c r="I291" i="5" s="1"/>
  <c r="H291" i="5" a="1"/>
  <c r="H291" i="5" s="1"/>
  <c r="G291" i="5" a="1"/>
  <c r="G291" i="5" s="1"/>
  <c r="F291" i="5" a="1"/>
  <c r="F291" i="5" s="1"/>
  <c r="E291" i="5" a="1"/>
  <c r="E291" i="5" s="1"/>
  <c r="A291" i="5"/>
  <c r="J290" i="5" a="1"/>
  <c r="J290" i="5"/>
  <c r="I290" i="5" a="1"/>
  <c r="I290" i="5" s="1"/>
  <c r="H290" i="5" a="1"/>
  <c r="H290" i="5"/>
  <c r="G290" i="5" a="1"/>
  <c r="G290" i="5" s="1"/>
  <c r="F290" i="5" a="1"/>
  <c r="F290" i="5"/>
  <c r="E290" i="5" a="1"/>
  <c r="E290" i="5" s="1"/>
  <c r="A290" i="5"/>
  <c r="J289" i="5" a="1"/>
  <c r="J289" i="5" s="1"/>
  <c r="I289" i="5" a="1"/>
  <c r="I289" i="5"/>
  <c r="H289" i="5" a="1"/>
  <c r="H289" i="5" s="1"/>
  <c r="G289" i="5" a="1"/>
  <c r="G289" i="5" s="1"/>
  <c r="F289" i="5" a="1"/>
  <c r="F289" i="5" s="1"/>
  <c r="E289" i="5" a="1"/>
  <c r="E289" i="5" s="1"/>
  <c r="A289" i="5"/>
  <c r="J288" i="5" a="1"/>
  <c r="J288" i="5" s="1"/>
  <c r="I288" i="5" a="1"/>
  <c r="I288" i="5"/>
  <c r="H288" i="5" a="1"/>
  <c r="H288" i="5" s="1"/>
  <c r="G288" i="5" a="1"/>
  <c r="G288" i="5"/>
  <c r="F288" i="5" a="1"/>
  <c r="F288" i="5" s="1"/>
  <c r="E288" i="5" a="1"/>
  <c r="E288" i="5"/>
  <c r="A288" i="5"/>
  <c r="J287" i="5" a="1"/>
  <c r="J287" i="5" s="1"/>
  <c r="I287" i="5" a="1"/>
  <c r="I287" i="5" s="1"/>
  <c r="H287" i="5" a="1"/>
  <c r="H287" i="5" s="1"/>
  <c r="G287" i="5" a="1"/>
  <c r="G287" i="5" s="1"/>
  <c r="F287" i="5" a="1"/>
  <c r="F287" i="5" s="1"/>
  <c r="E287" i="5" a="1"/>
  <c r="E287" i="5" s="1"/>
  <c r="A287" i="5"/>
  <c r="J286" i="5" a="1"/>
  <c r="J286" i="5"/>
  <c r="I286" i="5" a="1"/>
  <c r="I286" i="5" s="1"/>
  <c r="H286" i="5" a="1"/>
  <c r="H286" i="5"/>
  <c r="G286" i="5" a="1"/>
  <c r="G286" i="5" s="1"/>
  <c r="F286" i="5" a="1"/>
  <c r="F286" i="5"/>
  <c r="E286" i="5" a="1"/>
  <c r="E286" i="5" s="1"/>
  <c r="A286" i="5"/>
  <c r="J285" i="5" a="1"/>
  <c r="J285" i="5" s="1"/>
  <c r="I285" i="5" a="1"/>
  <c r="I285" i="5" s="1"/>
  <c r="H285" i="5" a="1"/>
  <c r="H285" i="5" s="1"/>
  <c r="G285" i="5" a="1"/>
  <c r="G285" i="5" s="1"/>
  <c r="F285" i="5" a="1"/>
  <c r="F285" i="5" s="1"/>
  <c r="E285" i="5" a="1"/>
  <c r="E285" i="5" s="1"/>
  <c r="A285" i="5"/>
  <c r="J284" i="5" a="1"/>
  <c r="J284" i="5" s="1"/>
  <c r="I284" i="5" a="1"/>
  <c r="I284" i="5"/>
  <c r="H284" i="5" a="1"/>
  <c r="H284" i="5" s="1"/>
  <c r="G284" i="5" a="1"/>
  <c r="G284" i="5"/>
  <c r="F284" i="5" a="1"/>
  <c r="F284" i="5" s="1"/>
  <c r="E284" i="5" a="1"/>
  <c r="E284" i="5"/>
  <c r="A284" i="5"/>
  <c r="J283" i="5" a="1"/>
  <c r="J283" i="5" s="1"/>
  <c r="I283" i="5" a="1"/>
  <c r="I283" i="5" s="1"/>
  <c r="H283" i="5" a="1"/>
  <c r="H283" i="5" s="1"/>
  <c r="G283" i="5" a="1"/>
  <c r="G283" i="5" s="1"/>
  <c r="F283" i="5" a="1"/>
  <c r="F283" i="5" s="1"/>
  <c r="E283" i="5" a="1"/>
  <c r="E283" i="5" s="1"/>
  <c r="A283" i="5"/>
  <c r="J282" i="5" a="1"/>
  <c r="J282" i="5"/>
  <c r="I282" i="5" a="1"/>
  <c r="I282" i="5" s="1"/>
  <c r="H282" i="5" a="1"/>
  <c r="H282" i="5"/>
  <c r="G282" i="5" a="1"/>
  <c r="G282" i="5" s="1"/>
  <c r="F282" i="5" a="1"/>
  <c r="F282" i="5"/>
  <c r="E282" i="5" a="1"/>
  <c r="E282" i="5" s="1"/>
  <c r="A282" i="5"/>
  <c r="J281" i="5" a="1"/>
  <c r="J281" i="5"/>
  <c r="I281" i="5" a="1"/>
  <c r="I281" i="5" s="1"/>
  <c r="H281" i="5" a="1"/>
  <c r="H281" i="5"/>
  <c r="G281" i="5" a="1"/>
  <c r="G281" i="5" s="1"/>
  <c r="F281" i="5" a="1"/>
  <c r="F281" i="5"/>
  <c r="E281" i="5" a="1"/>
  <c r="E281" i="5" s="1"/>
  <c r="A281" i="5"/>
  <c r="J280" i="5" a="1"/>
  <c r="J280" i="5" s="1"/>
  <c r="I280" i="5" a="1"/>
  <c r="I280" i="5"/>
  <c r="H280" i="5" a="1"/>
  <c r="H280" i="5" s="1"/>
  <c r="G280" i="5" a="1"/>
  <c r="G280" i="5"/>
  <c r="F280" i="5" a="1"/>
  <c r="F280" i="5" s="1"/>
  <c r="E280" i="5" a="1"/>
  <c r="E280" i="5"/>
  <c r="A280" i="5"/>
  <c r="J279" i="5" a="1"/>
  <c r="J279" i="5" s="1"/>
  <c r="I279" i="5" a="1"/>
  <c r="I279" i="5"/>
  <c r="H279" i="5" a="1"/>
  <c r="H279" i="5" s="1"/>
  <c r="G279" i="5" a="1"/>
  <c r="G279" i="5"/>
  <c r="F279" i="5" a="1"/>
  <c r="F279" i="5" s="1"/>
  <c r="E279" i="5" a="1"/>
  <c r="E279" i="5"/>
  <c r="A279" i="5"/>
  <c r="J278" i="5" a="1"/>
  <c r="J278" i="5"/>
  <c r="I278" i="5" a="1"/>
  <c r="I278" i="5"/>
  <c r="H278" i="5" a="1"/>
  <c r="H278" i="5"/>
  <c r="G278" i="5" a="1"/>
  <c r="G278" i="5"/>
  <c r="F278" i="5" a="1"/>
  <c r="F278" i="5"/>
  <c r="E278" i="5" a="1"/>
  <c r="E278" i="5"/>
  <c r="A278" i="5"/>
  <c r="J277" i="5" a="1"/>
  <c r="J277" i="5"/>
  <c r="I277" i="5" a="1"/>
  <c r="I277" i="5" s="1"/>
  <c r="H277" i="5" a="1"/>
  <c r="H277" i="5"/>
  <c r="G277" i="5" a="1"/>
  <c r="G277" i="5" s="1"/>
  <c r="F277" i="5" a="1"/>
  <c r="F277" i="5"/>
  <c r="E277" i="5" a="1"/>
  <c r="E277" i="5" s="1"/>
  <c r="A277" i="5"/>
  <c r="J276" i="5" a="1"/>
  <c r="J276" i="5"/>
  <c r="I276" i="5" a="1"/>
  <c r="I276" i="5"/>
  <c r="H276" i="5" a="1"/>
  <c r="H276" i="5"/>
  <c r="G276" i="5" a="1"/>
  <c r="G276" i="5"/>
  <c r="F276" i="5" a="1"/>
  <c r="F276" i="5"/>
  <c r="E276" i="5" a="1"/>
  <c r="E276" i="5"/>
  <c r="A276" i="5"/>
  <c r="J275" i="5" a="1"/>
  <c r="J275" i="5" s="1"/>
  <c r="I275" i="5" a="1"/>
  <c r="I275" i="5"/>
  <c r="H275" i="5" a="1"/>
  <c r="H275" i="5" s="1"/>
  <c r="G275" i="5" a="1"/>
  <c r="G275" i="5"/>
  <c r="F275" i="5" a="1"/>
  <c r="F275" i="5" s="1"/>
  <c r="E275" i="5" a="1"/>
  <c r="E275" i="5"/>
  <c r="A275" i="5"/>
  <c r="J274" i="5" a="1"/>
  <c r="J274" i="5" s="1"/>
  <c r="I274" i="5" a="1"/>
  <c r="I274" i="5"/>
  <c r="H274" i="5" a="1"/>
  <c r="H274" i="5" s="1"/>
  <c r="G274" i="5" a="1"/>
  <c r="G274" i="5"/>
  <c r="F274" i="5" a="1"/>
  <c r="F274" i="5" s="1"/>
  <c r="E274" i="5" a="1"/>
  <c r="E274" i="5"/>
  <c r="A274" i="5"/>
  <c r="J273" i="5" a="1"/>
  <c r="J273" i="5"/>
  <c r="I273" i="5" a="1"/>
  <c r="I273" i="5" s="1"/>
  <c r="H273" i="5" a="1"/>
  <c r="H273" i="5"/>
  <c r="G273" i="5" a="1"/>
  <c r="G273" i="5" s="1"/>
  <c r="F273" i="5" a="1"/>
  <c r="F273" i="5"/>
  <c r="E273" i="5" a="1"/>
  <c r="E273" i="5" s="1"/>
  <c r="A273" i="5"/>
  <c r="J272" i="5" a="1"/>
  <c r="J272" i="5"/>
  <c r="I272" i="5" a="1"/>
  <c r="I272" i="5" s="1"/>
  <c r="H272" i="5" a="1"/>
  <c r="H272" i="5"/>
  <c r="G272" i="5" a="1"/>
  <c r="G272" i="5" s="1"/>
  <c r="F272" i="5" a="1"/>
  <c r="F272" i="5"/>
  <c r="E272" i="5" a="1"/>
  <c r="E272" i="5" s="1"/>
  <c r="A272" i="5"/>
  <c r="J271" i="5" a="1"/>
  <c r="J271" i="5" s="1"/>
  <c r="I271" i="5" a="1"/>
  <c r="I271" i="5"/>
  <c r="H271" i="5" a="1"/>
  <c r="H271" i="5" s="1"/>
  <c r="G271" i="5" a="1"/>
  <c r="G271" i="5"/>
  <c r="F271" i="5" a="1"/>
  <c r="F271" i="5" s="1"/>
  <c r="E271" i="5" a="1"/>
  <c r="E271" i="5"/>
  <c r="A271" i="5"/>
  <c r="J270" i="5" a="1"/>
  <c r="J270" i="5" s="1"/>
  <c r="I270" i="5" a="1"/>
  <c r="I270" i="5"/>
  <c r="H270" i="5" a="1"/>
  <c r="H270" i="5" s="1"/>
  <c r="G270" i="5" a="1"/>
  <c r="G270" i="5"/>
  <c r="F270" i="5" a="1"/>
  <c r="F270" i="5" s="1"/>
  <c r="E270" i="5" a="1"/>
  <c r="E270" i="5"/>
  <c r="A270" i="5"/>
  <c r="J269" i="5" a="1"/>
  <c r="J269" i="5"/>
  <c r="I269" i="5" a="1"/>
  <c r="I269" i="5" s="1"/>
  <c r="H269" i="5" a="1"/>
  <c r="H269" i="5"/>
  <c r="G269" i="5" a="1"/>
  <c r="G269" i="5" s="1"/>
  <c r="F269" i="5" a="1"/>
  <c r="F269" i="5"/>
  <c r="E269" i="5" a="1"/>
  <c r="E269" i="5" s="1"/>
  <c r="A269" i="5"/>
  <c r="J268" i="5" a="1"/>
  <c r="J268" i="5"/>
  <c r="I268" i="5" a="1"/>
  <c r="I268" i="5" s="1"/>
  <c r="H268" i="5" a="1"/>
  <c r="H268" i="5"/>
  <c r="G268" i="5" a="1"/>
  <c r="G268" i="5" s="1"/>
  <c r="F268" i="5" a="1"/>
  <c r="F268" i="5"/>
  <c r="E268" i="5" a="1"/>
  <c r="E268" i="5" s="1"/>
  <c r="A268" i="5"/>
  <c r="J267" i="5" a="1"/>
  <c r="J267" i="5" s="1"/>
  <c r="I267" i="5" a="1"/>
  <c r="I267" i="5"/>
  <c r="H267" i="5" a="1"/>
  <c r="H267" i="5" s="1"/>
  <c r="G267" i="5" a="1"/>
  <c r="G267" i="5"/>
  <c r="F267" i="5" a="1"/>
  <c r="F267" i="5" s="1"/>
  <c r="E267" i="5" a="1"/>
  <c r="E267" i="5"/>
  <c r="A267" i="5"/>
  <c r="J266" i="5" a="1"/>
  <c r="J266" i="5" s="1"/>
  <c r="I266" i="5" a="1"/>
  <c r="I266" i="5"/>
  <c r="H266" i="5" a="1"/>
  <c r="H266" i="5" s="1"/>
  <c r="G266" i="5" a="1"/>
  <c r="G266" i="5"/>
  <c r="F266" i="5" a="1"/>
  <c r="F266" i="5" s="1"/>
  <c r="E266" i="5" a="1"/>
  <c r="E266" i="5"/>
  <c r="A266" i="5"/>
  <c r="J265" i="5" a="1"/>
  <c r="J265" i="5"/>
  <c r="I265" i="5" a="1"/>
  <c r="I265" i="5" s="1"/>
  <c r="H265" i="5" a="1"/>
  <c r="H265" i="5"/>
  <c r="G265" i="5" a="1"/>
  <c r="G265" i="5" s="1"/>
  <c r="F265" i="5" a="1"/>
  <c r="F265" i="5"/>
  <c r="E265" i="5" a="1"/>
  <c r="E265" i="5" s="1"/>
  <c r="A265" i="5"/>
  <c r="J264" i="5" a="1"/>
  <c r="J264" i="5"/>
  <c r="I264" i="5" a="1"/>
  <c r="I264" i="5" s="1"/>
  <c r="H264" i="5" a="1"/>
  <c r="H264" i="5"/>
  <c r="G264" i="5" a="1"/>
  <c r="G264" i="5" s="1"/>
  <c r="F264" i="5" a="1"/>
  <c r="F264" i="5"/>
  <c r="E264" i="5" a="1"/>
  <c r="E264" i="5" s="1"/>
  <c r="A264" i="5"/>
  <c r="J263" i="5" a="1"/>
  <c r="J263" i="5" s="1"/>
  <c r="I263" i="5" a="1"/>
  <c r="I263" i="5"/>
  <c r="H263" i="5" a="1"/>
  <c r="H263" i="5" s="1"/>
  <c r="G263" i="5" a="1"/>
  <c r="G263" i="5"/>
  <c r="F263" i="5" a="1"/>
  <c r="F263" i="5" s="1"/>
  <c r="E263" i="5" a="1"/>
  <c r="E263" i="5"/>
  <c r="A263" i="5"/>
  <c r="J262" i="5" a="1"/>
  <c r="J262" i="5" s="1"/>
  <c r="I262" i="5" a="1"/>
  <c r="I262" i="5"/>
  <c r="H262" i="5" a="1"/>
  <c r="H262" i="5" s="1"/>
  <c r="G262" i="5" a="1"/>
  <c r="G262" i="5"/>
  <c r="F262" i="5" a="1"/>
  <c r="F262" i="5" s="1"/>
  <c r="E262" i="5" a="1"/>
  <c r="E262" i="5"/>
  <c r="A262" i="5"/>
  <c r="J261" i="5" a="1"/>
  <c r="J261" i="5"/>
  <c r="I261" i="5" a="1"/>
  <c r="I261" i="5" s="1"/>
  <c r="H261" i="5" a="1"/>
  <c r="H261" i="5"/>
  <c r="G261" i="5" a="1"/>
  <c r="G261" i="5" s="1"/>
  <c r="F261" i="5" a="1"/>
  <c r="F261" i="5"/>
  <c r="E261" i="5" a="1"/>
  <c r="E261" i="5" s="1"/>
  <c r="A261" i="5"/>
  <c r="J260" i="5" a="1"/>
  <c r="J260" i="5"/>
  <c r="I260" i="5" a="1"/>
  <c r="I260" i="5" s="1"/>
  <c r="H260" i="5" a="1"/>
  <c r="H260" i="5"/>
  <c r="G260" i="5" a="1"/>
  <c r="G260" i="5" s="1"/>
  <c r="F260" i="5" a="1"/>
  <c r="F260" i="5"/>
  <c r="E260" i="5" a="1"/>
  <c r="E260" i="5" s="1"/>
  <c r="A260" i="5"/>
  <c r="J259" i="5" a="1"/>
  <c r="J259" i="5" s="1"/>
  <c r="I259" i="5" a="1"/>
  <c r="I259" i="5"/>
  <c r="H259" i="5" a="1"/>
  <c r="H259" i="5" s="1"/>
  <c r="G259" i="5" a="1"/>
  <c r="G259" i="5"/>
  <c r="F259" i="5" a="1"/>
  <c r="F259" i="5" s="1"/>
  <c r="E259" i="5" a="1"/>
  <c r="E259" i="5"/>
  <c r="A259" i="5"/>
  <c r="J258" i="5" a="1"/>
  <c r="J258" i="5" s="1"/>
  <c r="I258" i="5" a="1"/>
  <c r="I258" i="5"/>
  <c r="H258" i="5" a="1"/>
  <c r="H258" i="5" s="1"/>
  <c r="G258" i="5" a="1"/>
  <c r="G258" i="5"/>
  <c r="F258" i="5" a="1"/>
  <c r="F258" i="5" s="1"/>
  <c r="E258" i="5" a="1"/>
  <c r="E258" i="5"/>
  <c r="A258" i="5"/>
  <c r="J257" i="5" a="1"/>
  <c r="J257" i="5"/>
  <c r="I257" i="5" a="1"/>
  <c r="I257" i="5" s="1"/>
  <c r="H257" i="5" a="1"/>
  <c r="H257" i="5"/>
  <c r="G257" i="5" a="1"/>
  <c r="G257" i="5" s="1"/>
  <c r="F257" i="5" a="1"/>
  <c r="F257" i="5"/>
  <c r="E257" i="5" a="1"/>
  <c r="E257" i="5" s="1"/>
  <c r="A257" i="5"/>
  <c r="J256" i="5" a="1"/>
  <c r="J256" i="5"/>
  <c r="I256" i="5" a="1"/>
  <c r="I256" i="5" s="1"/>
  <c r="H256" i="5" a="1"/>
  <c r="H256" i="5"/>
  <c r="G256" i="5" a="1"/>
  <c r="G256" i="5" s="1"/>
  <c r="F256" i="5" a="1"/>
  <c r="F256" i="5"/>
  <c r="E256" i="5" a="1"/>
  <c r="E256" i="5" s="1"/>
  <c r="A256" i="5"/>
  <c r="J255" i="5" a="1"/>
  <c r="J255" i="5" s="1"/>
  <c r="I255" i="5" a="1"/>
  <c r="I255" i="5"/>
  <c r="H255" i="5" a="1"/>
  <c r="H255" i="5" s="1"/>
  <c r="G255" i="5" a="1"/>
  <c r="G255" i="5"/>
  <c r="F255" i="5" a="1"/>
  <c r="F255" i="5" s="1"/>
  <c r="E255" i="5" a="1"/>
  <c r="E255" i="5"/>
  <c r="A255" i="5"/>
  <c r="J254" i="5" a="1"/>
  <c r="J254" i="5" s="1"/>
  <c r="I254" i="5" a="1"/>
  <c r="I254" i="5"/>
  <c r="H254" i="5" a="1"/>
  <c r="H254" i="5" s="1"/>
  <c r="G254" i="5" a="1"/>
  <c r="G254" i="5"/>
  <c r="F254" i="5" a="1"/>
  <c r="F254" i="5" s="1"/>
  <c r="E254" i="5" a="1"/>
  <c r="E254" i="5"/>
  <c r="A254" i="5"/>
  <c r="J253" i="5" a="1"/>
  <c r="J253" i="5"/>
  <c r="I253" i="5" a="1"/>
  <c r="I253" i="5" s="1"/>
  <c r="H253" i="5" a="1"/>
  <c r="H253" i="5"/>
  <c r="G253" i="5" a="1"/>
  <c r="G253" i="5" s="1"/>
  <c r="F253" i="5" a="1"/>
  <c r="F253" i="5"/>
  <c r="E253" i="5" a="1"/>
  <c r="E253" i="5" s="1"/>
  <c r="A253" i="5"/>
  <c r="J252" i="5" a="1"/>
  <c r="J252" i="5"/>
  <c r="I252" i="5" a="1"/>
  <c r="I252" i="5" s="1"/>
  <c r="H252" i="5" a="1"/>
  <c r="H252" i="5"/>
  <c r="G252" i="5" a="1"/>
  <c r="G252" i="5" s="1"/>
  <c r="F252" i="5" a="1"/>
  <c r="F252" i="5"/>
  <c r="E252" i="5" a="1"/>
  <c r="E252" i="5" s="1"/>
  <c r="A252" i="5"/>
  <c r="J251" i="5" a="1"/>
  <c r="J251" i="5" s="1"/>
  <c r="I251" i="5" a="1"/>
  <c r="I251" i="5"/>
  <c r="H251" i="5" a="1"/>
  <c r="H251" i="5" s="1"/>
  <c r="G251" i="5" a="1"/>
  <c r="G251" i="5"/>
  <c r="F251" i="5" a="1"/>
  <c r="F251" i="5" s="1"/>
  <c r="E251" i="5" a="1"/>
  <c r="E251" i="5"/>
  <c r="A251" i="5"/>
  <c r="J250" i="5" a="1"/>
  <c r="J250" i="5" s="1"/>
  <c r="I250" i="5" a="1"/>
  <c r="I250" i="5"/>
  <c r="H250" i="5" a="1"/>
  <c r="H250" i="5" s="1"/>
  <c r="G250" i="5" a="1"/>
  <c r="G250" i="5"/>
  <c r="F250" i="5" a="1"/>
  <c r="F250" i="5" s="1"/>
  <c r="E250" i="5" a="1"/>
  <c r="E250" i="5"/>
  <c r="A250" i="5"/>
  <c r="J249" i="5" a="1"/>
  <c r="J249" i="5"/>
  <c r="I249" i="5" a="1"/>
  <c r="I249" i="5" s="1"/>
  <c r="H249" i="5" a="1"/>
  <c r="H249" i="5"/>
  <c r="G249" i="5" a="1"/>
  <c r="G249" i="5" s="1"/>
  <c r="F249" i="5" a="1"/>
  <c r="F249" i="5"/>
  <c r="E249" i="5" a="1"/>
  <c r="E249" i="5" s="1"/>
  <c r="A249" i="5"/>
  <c r="J248" i="5" a="1"/>
  <c r="J248" i="5"/>
  <c r="I248" i="5" a="1"/>
  <c r="I248" i="5" s="1"/>
  <c r="H248" i="5" a="1"/>
  <c r="H248" i="5"/>
  <c r="G248" i="5" a="1"/>
  <c r="G248" i="5" s="1"/>
  <c r="F248" i="5" a="1"/>
  <c r="F248" i="5"/>
  <c r="E248" i="5" a="1"/>
  <c r="E248" i="5" s="1"/>
  <c r="A248" i="5"/>
  <c r="J247" i="5" a="1"/>
  <c r="J247" i="5" s="1"/>
  <c r="I247" i="5" a="1"/>
  <c r="I247" i="5"/>
  <c r="H247" i="5" a="1"/>
  <c r="H247" i="5" s="1"/>
  <c r="G247" i="5" a="1"/>
  <c r="G247" i="5"/>
  <c r="F247" i="5" a="1"/>
  <c r="F247" i="5" s="1"/>
  <c r="E247" i="5" a="1"/>
  <c r="E247" i="5"/>
  <c r="A247" i="5"/>
  <c r="J246" i="5" a="1"/>
  <c r="J246" i="5" s="1"/>
  <c r="I246" i="5" a="1"/>
  <c r="I246" i="5"/>
  <c r="H246" i="5" a="1"/>
  <c r="H246" i="5" s="1"/>
  <c r="G246" i="5" a="1"/>
  <c r="G246" i="5"/>
  <c r="F246" i="5" a="1"/>
  <c r="F246" i="5" s="1"/>
  <c r="E246" i="5" a="1"/>
  <c r="E246" i="5"/>
  <c r="A246" i="5"/>
  <c r="J245" i="5" a="1"/>
  <c r="J245" i="5"/>
  <c r="I245" i="5" a="1"/>
  <c r="I245" i="5" s="1"/>
  <c r="H245" i="5" a="1"/>
  <c r="H245" i="5"/>
  <c r="G245" i="5" a="1"/>
  <c r="G245" i="5" s="1"/>
  <c r="F245" i="5" a="1"/>
  <c r="F245" i="5"/>
  <c r="E245" i="5" a="1"/>
  <c r="E245" i="5" s="1"/>
  <c r="A245" i="5"/>
  <c r="J244" i="5" a="1"/>
  <c r="J244" i="5"/>
  <c r="I244" i="5" a="1"/>
  <c r="I244" i="5" s="1"/>
  <c r="H244" i="5" a="1"/>
  <c r="H244" i="5"/>
  <c r="G244" i="5" a="1"/>
  <c r="G244" i="5" s="1"/>
  <c r="F244" i="5" a="1"/>
  <c r="F244" i="5"/>
  <c r="E244" i="5" a="1"/>
  <c r="E244" i="5" s="1"/>
  <c r="A244" i="5"/>
  <c r="J243" i="5" a="1"/>
  <c r="J243" i="5"/>
  <c r="I243" i="5" a="1"/>
  <c r="I243" i="5"/>
  <c r="H243" i="5" a="1"/>
  <c r="H243" i="5"/>
  <c r="G243" i="5" a="1"/>
  <c r="G243" i="5"/>
  <c r="F243" i="5" a="1"/>
  <c r="F243" i="5"/>
  <c r="E243" i="5" a="1"/>
  <c r="E243" i="5"/>
  <c r="A243" i="5"/>
  <c r="J242" i="5" a="1"/>
  <c r="J242" i="5" s="1"/>
  <c r="I242" i="5" a="1"/>
  <c r="I242" i="5"/>
  <c r="H242" i="5" a="1"/>
  <c r="H242" i="5" s="1"/>
  <c r="G242" i="5" a="1"/>
  <c r="G242" i="5"/>
  <c r="F242" i="5" a="1"/>
  <c r="F242" i="5" s="1"/>
  <c r="E242" i="5" a="1"/>
  <c r="E242" i="5"/>
  <c r="A242" i="5"/>
  <c r="J241" i="5" a="1"/>
  <c r="J241" i="5"/>
  <c r="I241" i="5" a="1"/>
  <c r="I241" i="5"/>
  <c r="H241" i="5" a="1"/>
  <c r="H241" i="5"/>
  <c r="G241" i="5" a="1"/>
  <c r="G241" i="5"/>
  <c r="F241" i="5" a="1"/>
  <c r="F241" i="5"/>
  <c r="E241" i="5" a="1"/>
  <c r="E241" i="5"/>
  <c r="A241" i="5"/>
  <c r="J240" i="5" a="1"/>
  <c r="J240" i="5"/>
  <c r="I240" i="5" a="1"/>
  <c r="I240" i="5" s="1"/>
  <c r="H240" i="5" a="1"/>
  <c r="H240" i="5"/>
  <c r="G240" i="5" a="1"/>
  <c r="G240" i="5" s="1"/>
  <c r="F240" i="5" a="1"/>
  <c r="F240" i="5"/>
  <c r="E240" i="5" a="1"/>
  <c r="E240" i="5" s="1"/>
  <c r="A240" i="5"/>
  <c r="J239" i="5" a="1"/>
  <c r="J239" i="5"/>
  <c r="I239" i="5" a="1"/>
  <c r="I239" i="5"/>
  <c r="H239" i="5" a="1"/>
  <c r="H239" i="5"/>
  <c r="G239" i="5" a="1"/>
  <c r="G239" i="5"/>
  <c r="F239" i="5" a="1"/>
  <c r="F239" i="5"/>
  <c r="E239" i="5" a="1"/>
  <c r="E239" i="5"/>
  <c r="A239" i="5"/>
  <c r="J238" i="5" a="1"/>
  <c r="J238" i="5" s="1"/>
  <c r="I238" i="5" a="1"/>
  <c r="I238" i="5"/>
  <c r="H238" i="5" a="1"/>
  <c r="H238" i="5" s="1"/>
  <c r="G238" i="5" a="1"/>
  <c r="G238" i="5" s="1"/>
  <c r="F238" i="5" a="1"/>
  <c r="F238" i="5" s="1"/>
  <c r="E238" i="5" a="1"/>
  <c r="E238" i="5"/>
  <c r="A238" i="5"/>
  <c r="J237" i="5" a="1"/>
  <c r="J237" i="5"/>
  <c r="I237" i="5" a="1"/>
  <c r="I237" i="5" s="1"/>
  <c r="H237" i="5" a="1"/>
  <c r="H237" i="5"/>
  <c r="G237" i="5" a="1"/>
  <c r="G237" i="5" s="1"/>
  <c r="F237" i="5" a="1"/>
  <c r="F237" i="5"/>
  <c r="E237" i="5" a="1"/>
  <c r="E237" i="5" s="1"/>
  <c r="A237" i="5"/>
  <c r="J236" i="5" a="1"/>
  <c r="J236" i="5"/>
  <c r="I236" i="5" a="1"/>
  <c r="I236" i="5" s="1"/>
  <c r="H236" i="5" a="1"/>
  <c r="H236" i="5"/>
  <c r="G236" i="5" a="1"/>
  <c r="G236" i="5" s="1"/>
  <c r="F236" i="5" a="1"/>
  <c r="F236" i="5"/>
  <c r="E236" i="5" a="1"/>
  <c r="E236" i="5" s="1"/>
  <c r="A236" i="5"/>
  <c r="J235" i="5" a="1"/>
  <c r="J235" i="5"/>
  <c r="I235" i="5" a="1"/>
  <c r="I235" i="5"/>
  <c r="H235" i="5" a="1"/>
  <c r="H235" i="5"/>
  <c r="G235" i="5" a="1"/>
  <c r="G235" i="5"/>
  <c r="F235" i="5" a="1"/>
  <c r="F235" i="5"/>
  <c r="E235" i="5" a="1"/>
  <c r="E235" i="5"/>
  <c r="A235" i="5"/>
  <c r="J234" i="5" a="1"/>
  <c r="J234" i="5"/>
  <c r="I234" i="5" a="1"/>
  <c r="I234" i="5" s="1"/>
  <c r="H234" i="5" a="1"/>
  <c r="H234" i="5"/>
  <c r="G234" i="5" a="1"/>
  <c r="G234" i="5" s="1"/>
  <c r="F234" i="5" a="1"/>
  <c r="F234" i="5"/>
  <c r="E234" i="5" a="1"/>
  <c r="E234" i="5" s="1"/>
  <c r="A234" i="5"/>
  <c r="J233" i="5" a="1"/>
  <c r="J233" i="5"/>
  <c r="I233" i="5" a="1"/>
  <c r="I233" i="5"/>
  <c r="H233" i="5" a="1"/>
  <c r="H233" i="5"/>
  <c r="G233" i="5" a="1"/>
  <c r="G233" i="5"/>
  <c r="F233" i="5" a="1"/>
  <c r="F233" i="5"/>
  <c r="E233" i="5" a="1"/>
  <c r="E233" i="5"/>
  <c r="A233" i="5"/>
  <c r="J232" i="5" a="1"/>
  <c r="J232" i="5" s="1"/>
  <c r="I232" i="5" a="1"/>
  <c r="I232" i="5"/>
  <c r="H232" i="5" a="1"/>
  <c r="H232" i="5" s="1"/>
  <c r="G232" i="5" a="1"/>
  <c r="G232" i="5"/>
  <c r="F232" i="5" a="1"/>
  <c r="F232" i="5" s="1"/>
  <c r="E232" i="5" a="1"/>
  <c r="E232" i="5"/>
  <c r="A232" i="5"/>
  <c r="J231" i="5" a="1"/>
  <c r="J231" i="5"/>
  <c r="I231" i="5" a="1"/>
  <c r="I231" i="5"/>
  <c r="H231" i="5" a="1"/>
  <c r="H231" i="5"/>
  <c r="G231" i="5" a="1"/>
  <c r="G231" i="5"/>
  <c r="F231" i="5" a="1"/>
  <c r="F231" i="5"/>
  <c r="E231" i="5" a="1"/>
  <c r="E231" i="5"/>
  <c r="A231" i="5"/>
  <c r="J230" i="5" a="1"/>
  <c r="J230" i="5"/>
  <c r="I230" i="5" a="1"/>
  <c r="I230" i="5" s="1"/>
  <c r="H230" i="5" a="1"/>
  <c r="H230" i="5"/>
  <c r="G230" i="5" a="1"/>
  <c r="G230" i="5" s="1"/>
  <c r="F230" i="5" a="1"/>
  <c r="F230" i="5"/>
  <c r="E230" i="5" a="1"/>
  <c r="E230" i="5" s="1"/>
  <c r="A230" i="5"/>
  <c r="J229" i="5" a="1"/>
  <c r="J229" i="5"/>
  <c r="I229" i="5" a="1"/>
  <c r="I229" i="5"/>
  <c r="H229" i="5" a="1"/>
  <c r="H229" i="5"/>
  <c r="G229" i="5" a="1"/>
  <c r="G229" i="5"/>
  <c r="F229" i="5" a="1"/>
  <c r="F229" i="5"/>
  <c r="E229" i="5" a="1"/>
  <c r="E229" i="5"/>
  <c r="A229" i="5"/>
  <c r="J228" i="5" a="1"/>
  <c r="J228" i="5" s="1"/>
  <c r="I228" i="5" a="1"/>
  <c r="I228" i="5"/>
  <c r="H228" i="5" a="1"/>
  <c r="H228" i="5" s="1"/>
  <c r="G228" i="5" a="1"/>
  <c r="G228" i="5"/>
  <c r="F228" i="5" a="1"/>
  <c r="F228" i="5" s="1"/>
  <c r="E228" i="5" a="1"/>
  <c r="E228" i="5"/>
  <c r="A228" i="5"/>
  <c r="J227" i="5" a="1"/>
  <c r="J227" i="5"/>
  <c r="I227" i="5" a="1"/>
  <c r="I227" i="5"/>
  <c r="H227" i="5" a="1"/>
  <c r="H227" i="5"/>
  <c r="G227" i="5" a="1"/>
  <c r="G227" i="5"/>
  <c r="F227" i="5" a="1"/>
  <c r="F227" i="5"/>
  <c r="E227" i="5" a="1"/>
  <c r="E227" i="5"/>
  <c r="A227" i="5"/>
  <c r="J226" i="5" a="1"/>
  <c r="J226" i="5"/>
  <c r="I226" i="5" a="1"/>
  <c r="I226" i="5" s="1"/>
  <c r="H226" i="5" a="1"/>
  <c r="H226" i="5"/>
  <c r="G226" i="5" a="1"/>
  <c r="G226" i="5" s="1"/>
  <c r="F226" i="5" a="1"/>
  <c r="F226" i="5"/>
  <c r="E226" i="5" a="1"/>
  <c r="E226" i="5" s="1"/>
  <c r="A226" i="5"/>
  <c r="J225" i="5" a="1"/>
  <c r="J225" i="5"/>
  <c r="I225" i="5" a="1"/>
  <c r="I225" i="5"/>
  <c r="H225" i="5" a="1"/>
  <c r="H225" i="5"/>
  <c r="G225" i="5" a="1"/>
  <c r="G225" i="5"/>
  <c r="F225" i="5" a="1"/>
  <c r="F225" i="5"/>
  <c r="E225" i="5" a="1"/>
  <c r="E225" i="5"/>
  <c r="A225" i="5"/>
  <c r="J224" i="5" a="1"/>
  <c r="J224" i="5" s="1"/>
  <c r="I224" i="5" a="1"/>
  <c r="I224" i="5"/>
  <c r="H224" i="5" a="1"/>
  <c r="H224" i="5" s="1"/>
  <c r="G224" i="5" a="1"/>
  <c r="G224" i="5"/>
  <c r="F224" i="5" a="1"/>
  <c r="F224" i="5" s="1"/>
  <c r="E224" i="5" a="1"/>
  <c r="E224" i="5"/>
  <c r="A224" i="5"/>
  <c r="J223" i="5" a="1"/>
  <c r="J223" i="5"/>
  <c r="I223" i="5" a="1"/>
  <c r="I223" i="5"/>
  <c r="H223" i="5" a="1"/>
  <c r="H223" i="5"/>
  <c r="G223" i="5" a="1"/>
  <c r="G223" i="5"/>
  <c r="F223" i="5" a="1"/>
  <c r="F223" i="5"/>
  <c r="E223" i="5" a="1"/>
  <c r="E223" i="5"/>
  <c r="A223" i="5"/>
  <c r="J222" i="5" a="1"/>
  <c r="J222" i="5"/>
  <c r="I222" i="5" a="1"/>
  <c r="I222" i="5" s="1"/>
  <c r="H222" i="5" a="1"/>
  <c r="H222" i="5"/>
  <c r="G222" i="5" a="1"/>
  <c r="G222" i="5" s="1"/>
  <c r="F222" i="5" a="1"/>
  <c r="F222" i="5"/>
  <c r="E222" i="5" a="1"/>
  <c r="E222" i="5" s="1"/>
  <c r="A222" i="5"/>
  <c r="J221" i="5" a="1"/>
  <c r="J221" i="5"/>
  <c r="I221" i="5" a="1"/>
  <c r="I221" i="5"/>
  <c r="H221" i="5" a="1"/>
  <c r="H221" i="5"/>
  <c r="G221" i="5" a="1"/>
  <c r="G221" i="5"/>
  <c r="F221" i="5" a="1"/>
  <c r="F221" i="5"/>
  <c r="E221" i="5" a="1"/>
  <c r="E221" i="5" s="1"/>
  <c r="A221" i="5"/>
  <c r="J220" i="5" a="1"/>
  <c r="J220" i="5" s="1"/>
  <c r="I220" i="5" a="1"/>
  <c r="I220" i="5"/>
  <c r="H220" i="5" a="1"/>
  <c r="H220" i="5" s="1"/>
  <c r="G220" i="5" a="1"/>
  <c r="G220" i="5"/>
  <c r="F220" i="5" a="1"/>
  <c r="F220" i="5" s="1"/>
  <c r="E220" i="5" a="1"/>
  <c r="E220" i="5"/>
  <c r="A220" i="5"/>
  <c r="J219" i="5" a="1"/>
  <c r="J219" i="5"/>
  <c r="I219" i="5" a="1"/>
  <c r="I219" i="5"/>
  <c r="H219" i="5" a="1"/>
  <c r="H219" i="5"/>
  <c r="G219" i="5" a="1"/>
  <c r="G219" i="5"/>
  <c r="F219" i="5" a="1"/>
  <c r="F219" i="5" s="1"/>
  <c r="E219" i="5" a="1"/>
  <c r="E219" i="5"/>
  <c r="A219" i="5"/>
  <c r="J218" i="5" a="1"/>
  <c r="J218" i="5"/>
  <c r="I218" i="5" a="1"/>
  <c r="I218" i="5" s="1"/>
  <c r="H218" i="5" a="1"/>
  <c r="H218" i="5"/>
  <c r="G218" i="5" a="1"/>
  <c r="G218" i="5" s="1"/>
  <c r="F218" i="5" a="1"/>
  <c r="F218" i="5"/>
  <c r="E218" i="5" a="1"/>
  <c r="E218" i="5" s="1"/>
  <c r="A218" i="5"/>
  <c r="J217" i="5" a="1"/>
  <c r="J217" i="5"/>
  <c r="I217" i="5" a="1"/>
  <c r="I217" i="5"/>
  <c r="H217" i="5" a="1"/>
  <c r="H217" i="5"/>
  <c r="G217" i="5" a="1"/>
  <c r="G217" i="5"/>
  <c r="F217" i="5" a="1"/>
  <c r="F217" i="5"/>
  <c r="E217" i="5" a="1"/>
  <c r="E217" i="5" s="1"/>
  <c r="A217" i="5"/>
  <c r="J216" i="5" a="1"/>
  <c r="J216" i="5" s="1"/>
  <c r="I216" i="5" a="1"/>
  <c r="I216" i="5"/>
  <c r="H216" i="5" a="1"/>
  <c r="H216" i="5" s="1"/>
  <c r="G216" i="5" a="1"/>
  <c r="G216" i="5"/>
  <c r="F216" i="5" a="1"/>
  <c r="F216" i="5" s="1"/>
  <c r="E216" i="5" a="1"/>
  <c r="E216" i="5"/>
  <c r="A216" i="5"/>
  <c r="J215" i="5" a="1"/>
  <c r="J215" i="5"/>
  <c r="I215" i="5" a="1"/>
  <c r="I215" i="5"/>
  <c r="H215" i="5" a="1"/>
  <c r="H215" i="5"/>
  <c r="G215" i="5" a="1"/>
  <c r="G215" i="5"/>
  <c r="F215" i="5" a="1"/>
  <c r="F215" i="5" s="1"/>
  <c r="E215" i="5" a="1"/>
  <c r="E215" i="5"/>
  <c r="A215" i="5"/>
  <c r="J214" i="5" a="1"/>
  <c r="J214" i="5"/>
  <c r="I214" i="5" a="1"/>
  <c r="I214" i="5" s="1"/>
  <c r="H214" i="5" a="1"/>
  <c r="H214" i="5"/>
  <c r="G214" i="5" a="1"/>
  <c r="G214" i="5" s="1"/>
  <c r="F214" i="5" a="1"/>
  <c r="F214" i="5"/>
  <c r="E214" i="5" a="1"/>
  <c r="E214" i="5" s="1"/>
  <c r="A214" i="5"/>
  <c r="J213" i="5" a="1"/>
  <c r="J213" i="5"/>
  <c r="I213" i="5" a="1"/>
  <c r="I213" i="5"/>
  <c r="H213" i="5" a="1"/>
  <c r="H213" i="5"/>
  <c r="G213" i="5" a="1"/>
  <c r="G213" i="5"/>
  <c r="F213" i="5" a="1"/>
  <c r="F213" i="5"/>
  <c r="E213" i="5" a="1"/>
  <c r="E213" i="5" s="1"/>
  <c r="A213" i="5"/>
  <c r="J212" i="5" a="1"/>
  <c r="J212" i="5" s="1"/>
  <c r="I212" i="5" a="1"/>
  <c r="I212" i="5"/>
  <c r="H212" i="5" a="1"/>
  <c r="H212" i="5" s="1"/>
  <c r="G212" i="5" a="1"/>
  <c r="G212" i="5"/>
  <c r="F212" i="5" a="1"/>
  <c r="F212" i="5" s="1"/>
  <c r="E212" i="5" a="1"/>
  <c r="E212" i="5"/>
  <c r="A212" i="5"/>
  <c r="J211" i="5" a="1"/>
  <c r="J211" i="5"/>
  <c r="I211" i="5" a="1"/>
  <c r="I211" i="5"/>
  <c r="H211" i="5" a="1"/>
  <c r="H211" i="5"/>
  <c r="G211" i="5" a="1"/>
  <c r="G211" i="5"/>
  <c r="F211" i="5" a="1"/>
  <c r="F211" i="5" s="1"/>
  <c r="E211" i="5" a="1"/>
  <c r="E211" i="5"/>
  <c r="A211" i="5"/>
  <c r="J210" i="5" a="1"/>
  <c r="J210" i="5"/>
  <c r="I210" i="5" a="1"/>
  <c r="I210" i="5" s="1"/>
  <c r="H210" i="5" a="1"/>
  <c r="H210" i="5"/>
  <c r="G210" i="5" a="1"/>
  <c r="G210" i="5" s="1"/>
  <c r="F210" i="5" a="1"/>
  <c r="F210" i="5"/>
  <c r="E210" i="5" a="1"/>
  <c r="E210" i="5" s="1"/>
  <c r="A210" i="5"/>
  <c r="J209" i="5" a="1"/>
  <c r="J209" i="5"/>
  <c r="I209" i="5" a="1"/>
  <c r="I209" i="5"/>
  <c r="H209" i="5" a="1"/>
  <c r="H209" i="5"/>
  <c r="G209" i="5" a="1"/>
  <c r="G209" i="5"/>
  <c r="F209" i="5" a="1"/>
  <c r="F209" i="5"/>
  <c r="E209" i="5" a="1"/>
  <c r="E209" i="5" s="1"/>
  <c r="A209" i="5"/>
  <c r="J208" i="5" a="1"/>
  <c r="J208" i="5" s="1"/>
  <c r="I208" i="5" a="1"/>
  <c r="I208" i="5"/>
  <c r="H208" i="5" a="1"/>
  <c r="H208" i="5" s="1"/>
  <c r="G208" i="5" a="1"/>
  <c r="G208" i="5"/>
  <c r="F208" i="5" a="1"/>
  <c r="F208" i="5" s="1"/>
  <c r="E208" i="5" a="1"/>
  <c r="E208" i="5"/>
  <c r="A208" i="5"/>
  <c r="J207" i="5" a="1"/>
  <c r="J207" i="5"/>
  <c r="I207" i="5" a="1"/>
  <c r="I207" i="5"/>
  <c r="H207" i="5" a="1"/>
  <c r="H207" i="5"/>
  <c r="G207" i="5" a="1"/>
  <c r="G207" i="5"/>
  <c r="F207" i="5" a="1"/>
  <c r="F207" i="5" s="1"/>
  <c r="E207" i="5" a="1"/>
  <c r="E207" i="5"/>
  <c r="A207" i="5"/>
  <c r="J206" i="5" a="1"/>
  <c r="J206" i="5"/>
  <c r="I206" i="5" a="1"/>
  <c r="I206" i="5" s="1"/>
  <c r="H206" i="5" a="1"/>
  <c r="H206" i="5"/>
  <c r="G206" i="5" a="1"/>
  <c r="G206" i="5" s="1"/>
  <c r="F206" i="5" a="1"/>
  <c r="F206" i="5"/>
  <c r="E206" i="5" a="1"/>
  <c r="E206" i="5" s="1"/>
  <c r="A206" i="5"/>
  <c r="J205" i="5" a="1"/>
  <c r="J205" i="5"/>
  <c r="I205" i="5" a="1"/>
  <c r="I205" i="5"/>
  <c r="H205" i="5" a="1"/>
  <c r="H205" i="5"/>
  <c r="G205" i="5" a="1"/>
  <c r="G205" i="5"/>
  <c r="F205" i="5" a="1"/>
  <c r="F205" i="5"/>
  <c r="E205" i="5" a="1"/>
  <c r="E205" i="5" s="1"/>
  <c r="A205" i="5"/>
  <c r="J204" i="5" a="1"/>
  <c r="J204" i="5" s="1"/>
  <c r="I204" i="5" a="1"/>
  <c r="I204" i="5"/>
  <c r="H204" i="5" a="1"/>
  <c r="H204" i="5" s="1"/>
  <c r="G204" i="5" a="1"/>
  <c r="G204" i="5"/>
  <c r="F204" i="5" a="1"/>
  <c r="F204" i="5" s="1"/>
  <c r="E204" i="5" a="1"/>
  <c r="E204" i="5"/>
  <c r="A204" i="5"/>
  <c r="J203" i="5" a="1"/>
  <c r="J203" i="5"/>
  <c r="I203" i="5" a="1"/>
  <c r="I203" i="5"/>
  <c r="H203" i="5" a="1"/>
  <c r="H203" i="5"/>
  <c r="G203" i="5" a="1"/>
  <c r="G203" i="5"/>
  <c r="F203" i="5" a="1"/>
  <c r="F203" i="5"/>
  <c r="E203" i="5" a="1"/>
  <c r="E203" i="5"/>
  <c r="A203" i="5"/>
  <c r="J202" i="5" a="1"/>
  <c r="J202" i="5"/>
  <c r="I202" i="5" a="1"/>
  <c r="I202" i="5" s="1"/>
  <c r="H202" i="5" a="1"/>
  <c r="H202" i="5"/>
  <c r="G202" i="5" a="1"/>
  <c r="G202" i="5" s="1"/>
  <c r="F202" i="5" a="1"/>
  <c r="F202" i="5"/>
  <c r="E202" i="5" a="1"/>
  <c r="E202" i="5" s="1"/>
  <c r="A202" i="5"/>
  <c r="J201" i="5" a="1"/>
  <c r="J201" i="5"/>
  <c r="I201" i="5" a="1"/>
  <c r="I201" i="5"/>
  <c r="H201" i="5" a="1"/>
  <c r="H201" i="5"/>
  <c r="G201" i="5" a="1"/>
  <c r="G201" i="5"/>
  <c r="F201" i="5" a="1"/>
  <c r="F201" i="5"/>
  <c r="E201" i="5" a="1"/>
  <c r="E201" i="5"/>
  <c r="A201" i="5"/>
  <c r="J200" i="5" a="1"/>
  <c r="J200" i="5" s="1"/>
  <c r="I200" i="5" a="1"/>
  <c r="I200" i="5"/>
  <c r="H200" i="5" a="1"/>
  <c r="H200" i="5" s="1"/>
  <c r="G200" i="5" a="1"/>
  <c r="G200" i="5"/>
  <c r="F200" i="5" a="1"/>
  <c r="F200" i="5" s="1"/>
  <c r="E200" i="5" a="1"/>
  <c r="E200" i="5"/>
  <c r="A200" i="5"/>
  <c r="J199" i="5" a="1"/>
  <c r="J199" i="5"/>
  <c r="I199" i="5" a="1"/>
  <c r="I199" i="5"/>
  <c r="H199" i="5" a="1"/>
  <c r="H199" i="5"/>
  <c r="G199" i="5" a="1"/>
  <c r="G199" i="5"/>
  <c r="F199" i="5" a="1"/>
  <c r="F199" i="5"/>
  <c r="E199" i="5" a="1"/>
  <c r="E199" i="5"/>
  <c r="A199" i="5"/>
  <c r="J198" i="5" a="1"/>
  <c r="J198" i="5"/>
  <c r="I198" i="5" a="1"/>
  <c r="I198" i="5" s="1"/>
  <c r="H198" i="5" a="1"/>
  <c r="H198" i="5"/>
  <c r="G198" i="5" a="1"/>
  <c r="G198" i="5" s="1"/>
  <c r="F198" i="5" a="1"/>
  <c r="F198" i="5"/>
  <c r="E198" i="5" a="1"/>
  <c r="E198" i="5" s="1"/>
  <c r="A198" i="5"/>
  <c r="J197" i="5" a="1"/>
  <c r="J197" i="5"/>
  <c r="I197" i="5" a="1"/>
  <c r="I197" i="5"/>
  <c r="H197" i="5" a="1"/>
  <c r="H197" i="5"/>
  <c r="G197" i="5" a="1"/>
  <c r="G197" i="5"/>
  <c r="F197" i="5" a="1"/>
  <c r="F197" i="5"/>
  <c r="E197" i="5" a="1"/>
  <c r="E197" i="5"/>
  <c r="A197" i="5"/>
  <c r="J196" i="5" a="1"/>
  <c r="J196" i="5" s="1"/>
  <c r="I196" i="5" a="1"/>
  <c r="I196" i="5"/>
  <c r="H196" i="5" a="1"/>
  <c r="H196" i="5" s="1"/>
  <c r="G196" i="5" a="1"/>
  <c r="G196" i="5"/>
  <c r="F196" i="5" a="1"/>
  <c r="F196" i="5" s="1"/>
  <c r="E196" i="5" a="1"/>
  <c r="E196" i="5"/>
  <c r="A196" i="5"/>
  <c r="J195" i="5" a="1"/>
  <c r="J195" i="5"/>
  <c r="I195" i="5" a="1"/>
  <c r="I195" i="5"/>
  <c r="H195" i="5" a="1"/>
  <c r="H195" i="5"/>
  <c r="G195" i="5" a="1"/>
  <c r="G195" i="5"/>
  <c r="F195" i="5" a="1"/>
  <c r="F195" i="5"/>
  <c r="E195" i="5" a="1"/>
  <c r="E195" i="5"/>
  <c r="A195" i="5"/>
  <c r="J194" i="5" a="1"/>
  <c r="J194" i="5"/>
  <c r="I194" i="5" a="1"/>
  <c r="I194" i="5" s="1"/>
  <c r="H194" i="5" a="1"/>
  <c r="H194" i="5"/>
  <c r="G194" i="5" a="1"/>
  <c r="G194" i="5" s="1"/>
  <c r="F194" i="5" a="1"/>
  <c r="F194" i="5"/>
  <c r="E194" i="5" a="1"/>
  <c r="E194" i="5" s="1"/>
  <c r="A194" i="5"/>
  <c r="J193" i="5" a="1"/>
  <c r="J193" i="5"/>
  <c r="I193" i="5" a="1"/>
  <c r="I193" i="5"/>
  <c r="H193" i="5" a="1"/>
  <c r="H193" i="5"/>
  <c r="G193" i="5" a="1"/>
  <c r="G193" i="5"/>
  <c r="F193" i="5" a="1"/>
  <c r="F193" i="5"/>
  <c r="E193" i="5" a="1"/>
  <c r="E193" i="5"/>
  <c r="A193" i="5"/>
  <c r="J192" i="5" a="1"/>
  <c r="J192" i="5" s="1"/>
  <c r="I192" i="5" a="1"/>
  <c r="I192" i="5"/>
  <c r="H192" i="5" a="1"/>
  <c r="H192" i="5" s="1"/>
  <c r="G192" i="5" a="1"/>
  <c r="G192" i="5"/>
  <c r="F192" i="5" a="1"/>
  <c r="F192" i="5" s="1"/>
  <c r="E192" i="5" a="1"/>
  <c r="E192" i="5"/>
  <c r="A192" i="5"/>
  <c r="J191" i="5" a="1"/>
  <c r="J191" i="5"/>
  <c r="I191" i="5" a="1"/>
  <c r="I191" i="5"/>
  <c r="H191" i="5" a="1"/>
  <c r="H191" i="5"/>
  <c r="G191" i="5" a="1"/>
  <c r="G191" i="5"/>
  <c r="F191" i="5" a="1"/>
  <c r="F191" i="5"/>
  <c r="E191" i="5" a="1"/>
  <c r="E191" i="5"/>
  <c r="A191" i="5"/>
  <c r="J190" i="5" a="1"/>
  <c r="J190" i="5"/>
  <c r="I190" i="5" a="1"/>
  <c r="I190" i="5" s="1"/>
  <c r="H190" i="5" a="1"/>
  <c r="H190" i="5"/>
  <c r="G190" i="5" a="1"/>
  <c r="G190" i="5" s="1"/>
  <c r="F190" i="5" a="1"/>
  <c r="F190" i="5"/>
  <c r="E190" i="5" a="1"/>
  <c r="E190" i="5" s="1"/>
  <c r="A190" i="5"/>
  <c r="J189" i="5" a="1"/>
  <c r="J189" i="5"/>
  <c r="I189" i="5" a="1"/>
  <c r="I189" i="5"/>
  <c r="H189" i="5" a="1"/>
  <c r="H189" i="5"/>
  <c r="G189" i="5" a="1"/>
  <c r="G189" i="5"/>
  <c r="F189" i="5" a="1"/>
  <c r="F189" i="5"/>
  <c r="E189" i="5" a="1"/>
  <c r="E189" i="5"/>
  <c r="A189" i="5"/>
  <c r="J188" i="5" a="1"/>
  <c r="J188" i="5" s="1"/>
  <c r="I188" i="5" a="1"/>
  <c r="I188" i="5"/>
  <c r="H188" i="5" a="1"/>
  <c r="H188" i="5" s="1"/>
  <c r="G188" i="5" a="1"/>
  <c r="G188" i="5"/>
  <c r="F188" i="5" a="1"/>
  <c r="F188" i="5" s="1"/>
  <c r="E188" i="5" a="1"/>
  <c r="E188" i="5"/>
  <c r="A188" i="5"/>
  <c r="J187" i="5" a="1"/>
  <c r="J187" i="5"/>
  <c r="I187" i="5" a="1"/>
  <c r="I187" i="5"/>
  <c r="H187" i="5" a="1"/>
  <c r="H187" i="5"/>
  <c r="G187" i="5" a="1"/>
  <c r="G187" i="5"/>
  <c r="F187" i="5" a="1"/>
  <c r="F187" i="5"/>
  <c r="E187" i="5" a="1"/>
  <c r="E187" i="5"/>
  <c r="A187" i="5"/>
  <c r="J186" i="5" a="1"/>
  <c r="J186" i="5"/>
  <c r="I186" i="5" a="1"/>
  <c r="I186" i="5" s="1"/>
  <c r="H186" i="5" a="1"/>
  <c r="H186" i="5"/>
  <c r="G186" i="5" a="1"/>
  <c r="G186" i="5" s="1"/>
  <c r="F186" i="5" a="1"/>
  <c r="F186" i="5"/>
  <c r="E186" i="5" a="1"/>
  <c r="E186" i="5" s="1"/>
  <c r="A186" i="5"/>
  <c r="J185" i="5" a="1"/>
  <c r="J185" i="5"/>
  <c r="I185" i="5" a="1"/>
  <c r="I185" i="5"/>
  <c r="H185" i="5" a="1"/>
  <c r="H185" i="5"/>
  <c r="G185" i="5" a="1"/>
  <c r="G185" i="5"/>
  <c r="F185" i="5" a="1"/>
  <c r="F185" i="5"/>
  <c r="E185" i="5" a="1"/>
  <c r="E185" i="5"/>
  <c r="A185" i="5"/>
  <c r="J184" i="5" a="1"/>
  <c r="J184" i="5" s="1"/>
  <c r="I184" i="5" a="1"/>
  <c r="I184" i="5"/>
  <c r="H184" i="5" a="1"/>
  <c r="H184" i="5" s="1"/>
  <c r="G184" i="5" a="1"/>
  <c r="G184" i="5"/>
  <c r="F184" i="5" a="1"/>
  <c r="F184" i="5" s="1"/>
  <c r="E184" i="5" a="1"/>
  <c r="E184" i="5"/>
  <c r="A184" i="5"/>
  <c r="J183" i="5" a="1"/>
  <c r="J183" i="5"/>
  <c r="I183" i="5" a="1"/>
  <c r="I183" i="5"/>
  <c r="H183" i="5" a="1"/>
  <c r="H183" i="5"/>
  <c r="G183" i="5" a="1"/>
  <c r="G183" i="5"/>
  <c r="F183" i="5" a="1"/>
  <c r="F183" i="5"/>
  <c r="E183" i="5" a="1"/>
  <c r="E183" i="5"/>
  <c r="A183" i="5"/>
  <c r="J182" i="5" a="1"/>
  <c r="J182" i="5"/>
  <c r="I182" i="5" a="1"/>
  <c r="I182" i="5" s="1"/>
  <c r="H182" i="5" a="1"/>
  <c r="H182" i="5"/>
  <c r="G182" i="5" a="1"/>
  <c r="G182" i="5" s="1"/>
  <c r="F182" i="5" a="1"/>
  <c r="F182" i="5"/>
  <c r="E182" i="5" a="1"/>
  <c r="E182" i="5" s="1"/>
  <c r="A182" i="5"/>
  <c r="J181" i="5" a="1"/>
  <c r="J181" i="5"/>
  <c r="I181" i="5" a="1"/>
  <c r="I181" i="5"/>
  <c r="H181" i="5" a="1"/>
  <c r="H181" i="5"/>
  <c r="G181" i="5" a="1"/>
  <c r="G181" i="5"/>
  <c r="F181" i="5" a="1"/>
  <c r="F181" i="5"/>
  <c r="E181" i="5" a="1"/>
  <c r="E181" i="5"/>
  <c r="A181" i="5"/>
  <c r="J180" i="5" a="1"/>
  <c r="J180" i="5" s="1"/>
  <c r="I180" i="5" a="1"/>
  <c r="I180" i="5"/>
  <c r="H180" i="5" a="1"/>
  <c r="H180" i="5" s="1"/>
  <c r="G180" i="5" a="1"/>
  <c r="G180" i="5"/>
  <c r="F180" i="5" a="1"/>
  <c r="F180" i="5" s="1"/>
  <c r="E180" i="5" a="1"/>
  <c r="E180" i="5"/>
  <c r="A180" i="5"/>
  <c r="J179" i="5" a="1"/>
  <c r="J179" i="5"/>
  <c r="I179" i="5" a="1"/>
  <c r="I179" i="5"/>
  <c r="H179" i="5" a="1"/>
  <c r="H179" i="5"/>
  <c r="G179" i="5" a="1"/>
  <c r="G179" i="5"/>
  <c r="F179" i="5" a="1"/>
  <c r="F179" i="5"/>
  <c r="E179" i="5" a="1"/>
  <c r="E179" i="5"/>
  <c r="A179" i="5"/>
  <c r="J178" i="5" a="1"/>
  <c r="J178" i="5"/>
  <c r="I178" i="5" a="1"/>
  <c r="I178" i="5" s="1"/>
  <c r="H178" i="5" a="1"/>
  <c r="H178" i="5"/>
  <c r="G178" i="5" a="1"/>
  <c r="G178" i="5" s="1"/>
  <c r="F178" i="5" a="1"/>
  <c r="F178" i="5"/>
  <c r="E178" i="5" a="1"/>
  <c r="E178" i="5" s="1"/>
  <c r="A178" i="5"/>
  <c r="J177" i="5" a="1"/>
  <c r="J177" i="5"/>
  <c r="I177" i="5" a="1"/>
  <c r="I177" i="5"/>
  <c r="H177" i="5" a="1"/>
  <c r="H177" i="5"/>
  <c r="G177" i="5" a="1"/>
  <c r="G177" i="5"/>
  <c r="F177" i="5" a="1"/>
  <c r="F177" i="5"/>
  <c r="E177" i="5" a="1"/>
  <c r="E177" i="5"/>
  <c r="A177" i="5"/>
  <c r="J176" i="5" a="1"/>
  <c r="J176" i="5" s="1"/>
  <c r="I176" i="5" a="1"/>
  <c r="I176" i="5"/>
  <c r="H176" i="5" a="1"/>
  <c r="H176" i="5" s="1"/>
  <c r="G176" i="5" a="1"/>
  <c r="G176" i="5"/>
  <c r="F176" i="5" a="1"/>
  <c r="F176" i="5" s="1"/>
  <c r="E176" i="5" a="1"/>
  <c r="E176" i="5"/>
  <c r="A176" i="5"/>
  <c r="J175" i="5" a="1"/>
  <c r="J175" i="5"/>
  <c r="I175" i="5" a="1"/>
  <c r="I175" i="5"/>
  <c r="H175" i="5" a="1"/>
  <c r="H175" i="5"/>
  <c r="G175" i="5" a="1"/>
  <c r="G175" i="5"/>
  <c r="F175" i="5" a="1"/>
  <c r="F175" i="5"/>
  <c r="E175" i="5" a="1"/>
  <c r="E175" i="5"/>
  <c r="A175" i="5"/>
  <c r="J174" i="5" a="1"/>
  <c r="J174" i="5"/>
  <c r="I174" i="5" a="1"/>
  <c r="I174" i="5" s="1"/>
  <c r="H174" i="5" a="1"/>
  <c r="H174" i="5"/>
  <c r="G174" i="5" a="1"/>
  <c r="G174" i="5" s="1"/>
  <c r="F174" i="5" a="1"/>
  <c r="F174" i="5"/>
  <c r="E174" i="5" a="1"/>
  <c r="E174" i="5" s="1"/>
  <c r="A174" i="5"/>
  <c r="J173" i="5" a="1"/>
  <c r="J173" i="5"/>
  <c r="I173" i="5" a="1"/>
  <c r="I173" i="5"/>
  <c r="H173" i="5" a="1"/>
  <c r="H173" i="5"/>
  <c r="G173" i="5" a="1"/>
  <c r="G173" i="5"/>
  <c r="F173" i="5" a="1"/>
  <c r="F173" i="5"/>
  <c r="E173" i="5" a="1"/>
  <c r="E173" i="5"/>
  <c r="A173" i="5"/>
  <c r="J172" i="5" a="1"/>
  <c r="J172" i="5" s="1"/>
  <c r="I172" i="5" a="1"/>
  <c r="I172" i="5"/>
  <c r="H172" i="5" a="1"/>
  <c r="H172" i="5" s="1"/>
  <c r="G172" i="5" a="1"/>
  <c r="G172" i="5"/>
  <c r="F172" i="5" a="1"/>
  <c r="F172" i="5" s="1"/>
  <c r="E172" i="5" a="1"/>
  <c r="E172" i="5"/>
  <c r="A172" i="5"/>
  <c r="J171" i="5" a="1"/>
  <c r="J171" i="5"/>
  <c r="I171" i="5" a="1"/>
  <c r="I171" i="5"/>
  <c r="H171" i="5" a="1"/>
  <c r="H171" i="5"/>
  <c r="G171" i="5" a="1"/>
  <c r="G171" i="5"/>
  <c r="F171" i="5" a="1"/>
  <c r="F171" i="5"/>
  <c r="E171" i="5" a="1"/>
  <c r="E171" i="5"/>
  <c r="A171" i="5"/>
  <c r="J170" i="5" a="1"/>
  <c r="J170" i="5"/>
  <c r="I170" i="5" a="1"/>
  <c r="I170" i="5" s="1"/>
  <c r="H170" i="5" a="1"/>
  <c r="H170" i="5"/>
  <c r="G170" i="5" a="1"/>
  <c r="G170" i="5" s="1"/>
  <c r="F170" i="5" a="1"/>
  <c r="F170" i="5"/>
  <c r="E170" i="5" a="1"/>
  <c r="E170" i="5" s="1"/>
  <c r="A170" i="5"/>
  <c r="J169" i="5" a="1"/>
  <c r="J169" i="5"/>
  <c r="I169" i="5" a="1"/>
  <c r="I169" i="5"/>
  <c r="H169" i="5" a="1"/>
  <c r="H169" i="5"/>
  <c r="G169" i="5" a="1"/>
  <c r="G169" i="5"/>
  <c r="F169" i="5" a="1"/>
  <c r="F169" i="5"/>
  <c r="E169" i="5" a="1"/>
  <c r="E169" i="5"/>
  <c r="A169" i="5"/>
  <c r="J168" i="5" a="1"/>
  <c r="J168" i="5" s="1"/>
  <c r="I168" i="5" a="1"/>
  <c r="I168" i="5"/>
  <c r="H168" i="5" a="1"/>
  <c r="H168" i="5" s="1"/>
  <c r="G168" i="5" a="1"/>
  <c r="G168" i="5"/>
  <c r="F168" i="5" a="1"/>
  <c r="F168" i="5" s="1"/>
  <c r="E168" i="5" a="1"/>
  <c r="E168" i="5"/>
  <c r="A168" i="5"/>
  <c r="J167" i="5" a="1"/>
  <c r="J167" i="5"/>
  <c r="I167" i="5" a="1"/>
  <c r="I167" i="5"/>
  <c r="H167" i="5" a="1"/>
  <c r="H167" i="5"/>
  <c r="G167" i="5" a="1"/>
  <c r="G167" i="5"/>
  <c r="F167" i="5" a="1"/>
  <c r="F167" i="5"/>
  <c r="E167" i="5" a="1"/>
  <c r="E167" i="5"/>
  <c r="A167" i="5"/>
  <c r="J166" i="5" a="1"/>
  <c r="J166" i="5"/>
  <c r="I166" i="5" a="1"/>
  <c r="I166" i="5" s="1"/>
  <c r="H166" i="5" a="1"/>
  <c r="H166" i="5"/>
  <c r="G166" i="5" a="1"/>
  <c r="G166" i="5" s="1"/>
  <c r="F166" i="5" a="1"/>
  <c r="F166" i="5"/>
  <c r="E166" i="5" a="1"/>
  <c r="E166" i="5" s="1"/>
  <c r="A166" i="5"/>
  <c r="J165" i="5" a="1"/>
  <c r="J165" i="5"/>
  <c r="I165" i="5" a="1"/>
  <c r="I165" i="5"/>
  <c r="H165" i="5" a="1"/>
  <c r="H165" i="5"/>
  <c r="G165" i="5" a="1"/>
  <c r="G165" i="5"/>
  <c r="F165" i="5" a="1"/>
  <c r="F165" i="5"/>
  <c r="E165" i="5" a="1"/>
  <c r="E165" i="5"/>
  <c r="A165" i="5"/>
  <c r="J164" i="5" a="1"/>
  <c r="J164" i="5" s="1"/>
  <c r="I164" i="5" a="1"/>
  <c r="I164" i="5"/>
  <c r="H164" i="5" a="1"/>
  <c r="H164" i="5" s="1"/>
  <c r="G164" i="5" a="1"/>
  <c r="G164" i="5"/>
  <c r="F164" i="5" a="1"/>
  <c r="F164" i="5" s="1"/>
  <c r="E164" i="5" a="1"/>
  <c r="E164" i="5"/>
  <c r="A164" i="5"/>
  <c r="J163" i="5" a="1"/>
  <c r="J163" i="5"/>
  <c r="I163" i="5" a="1"/>
  <c r="I163" i="5"/>
  <c r="H163" i="5" a="1"/>
  <c r="H163" i="5"/>
  <c r="G163" i="5" a="1"/>
  <c r="G163" i="5"/>
  <c r="F163" i="5" a="1"/>
  <c r="F163" i="5"/>
  <c r="E163" i="5" a="1"/>
  <c r="E163" i="5"/>
  <c r="A163" i="5"/>
  <c r="J162" i="5" a="1"/>
  <c r="J162" i="5"/>
  <c r="I162" i="5" a="1"/>
  <c r="I162" i="5" s="1"/>
  <c r="H162" i="5" a="1"/>
  <c r="H162" i="5"/>
  <c r="G162" i="5" a="1"/>
  <c r="G162" i="5" s="1"/>
  <c r="F162" i="5" a="1"/>
  <c r="F162" i="5"/>
  <c r="E162" i="5" a="1"/>
  <c r="E162" i="5" s="1"/>
  <c r="A162" i="5"/>
  <c r="J161" i="5" a="1"/>
  <c r="J161" i="5"/>
  <c r="I161" i="5" a="1"/>
  <c r="I161" i="5"/>
  <c r="H161" i="5" a="1"/>
  <c r="H161" i="5"/>
  <c r="G161" i="5" a="1"/>
  <c r="G161" i="5"/>
  <c r="F161" i="5" a="1"/>
  <c r="F161" i="5"/>
  <c r="E161" i="5" a="1"/>
  <c r="E161" i="5"/>
  <c r="A161" i="5"/>
  <c r="J160" i="5" a="1"/>
  <c r="J160" i="5" s="1"/>
  <c r="I160" i="5" a="1"/>
  <c r="I160" i="5"/>
  <c r="H160" i="5" a="1"/>
  <c r="H160" i="5" s="1"/>
  <c r="G160" i="5" a="1"/>
  <c r="G160" i="5"/>
  <c r="F160" i="5" a="1"/>
  <c r="F160" i="5" s="1"/>
  <c r="E160" i="5" a="1"/>
  <c r="E160" i="5"/>
  <c r="A160" i="5"/>
  <c r="J159" i="5" a="1"/>
  <c r="J159" i="5"/>
  <c r="I159" i="5" a="1"/>
  <c r="I159" i="5"/>
  <c r="H159" i="5" a="1"/>
  <c r="H159" i="5"/>
  <c r="G159" i="5" a="1"/>
  <c r="G159" i="5"/>
  <c r="F159" i="5" a="1"/>
  <c r="F159" i="5"/>
  <c r="E159" i="5" a="1"/>
  <c r="E159" i="5"/>
  <c r="A159" i="5"/>
  <c r="J158" i="5" a="1"/>
  <c r="J158" i="5"/>
  <c r="I158" i="5" a="1"/>
  <c r="I158" i="5" s="1"/>
  <c r="H158" i="5" a="1"/>
  <c r="H158" i="5"/>
  <c r="G158" i="5" a="1"/>
  <c r="G158" i="5" s="1"/>
  <c r="F158" i="5" a="1"/>
  <c r="F158" i="5"/>
  <c r="E158" i="5" a="1"/>
  <c r="E158" i="5" s="1"/>
  <c r="A158" i="5"/>
  <c r="J157" i="5" a="1"/>
  <c r="J157" i="5"/>
  <c r="I157" i="5" a="1"/>
  <c r="I157" i="5"/>
  <c r="H157" i="5" a="1"/>
  <c r="H157" i="5"/>
  <c r="G157" i="5" a="1"/>
  <c r="G157" i="5"/>
  <c r="F157" i="5" a="1"/>
  <c r="F157" i="5"/>
  <c r="E157" i="5" a="1"/>
  <c r="E157" i="5"/>
  <c r="A157" i="5"/>
  <c r="J156" i="5" a="1"/>
  <c r="J156" i="5" s="1"/>
  <c r="I156" i="5" a="1"/>
  <c r="I156" i="5"/>
  <c r="H156" i="5" a="1"/>
  <c r="H156" i="5" s="1"/>
  <c r="G156" i="5" a="1"/>
  <c r="G156" i="5"/>
  <c r="F156" i="5" a="1"/>
  <c r="F156" i="5" s="1"/>
  <c r="E156" i="5" a="1"/>
  <c r="E156" i="5"/>
  <c r="A156" i="5"/>
  <c r="J155" i="5" a="1"/>
  <c r="J155" i="5"/>
  <c r="I155" i="5" a="1"/>
  <c r="I155" i="5"/>
  <c r="H155" i="5" a="1"/>
  <c r="H155" i="5"/>
  <c r="G155" i="5" a="1"/>
  <c r="G155" i="5" s="1"/>
  <c r="F155" i="5" a="1"/>
  <c r="F155" i="5"/>
  <c r="E155" i="5" a="1"/>
  <c r="E155" i="5" s="1"/>
  <c r="A155" i="5"/>
  <c r="J154" i="5" a="1"/>
  <c r="J154" i="5"/>
  <c r="I154" i="5" a="1"/>
  <c r="I154" i="5" s="1"/>
  <c r="H154" i="5" a="1"/>
  <c r="H154" i="5"/>
  <c r="G154" i="5" a="1"/>
  <c r="G154" i="5" s="1"/>
  <c r="F154" i="5" a="1"/>
  <c r="F154" i="5"/>
  <c r="E154" i="5" a="1"/>
  <c r="E154" i="5" s="1"/>
  <c r="A154" i="5"/>
  <c r="J153" i="5" a="1"/>
  <c r="J153" i="5"/>
  <c r="I153" i="5" a="1"/>
  <c r="I153" i="5"/>
  <c r="H153" i="5" a="1"/>
  <c r="H153" i="5"/>
  <c r="G153" i="5" a="1"/>
  <c r="G153" i="5"/>
  <c r="F153" i="5" a="1"/>
  <c r="F153" i="5"/>
  <c r="E153" i="5" a="1"/>
  <c r="E153" i="5"/>
  <c r="A153" i="5"/>
  <c r="J152" i="5" a="1"/>
  <c r="J152" i="5" s="1"/>
  <c r="I152" i="5" a="1"/>
  <c r="I152" i="5"/>
  <c r="H152" i="5" a="1"/>
  <c r="H152" i="5" s="1"/>
  <c r="G152" i="5" a="1"/>
  <c r="G152" i="5"/>
  <c r="F152" i="5" a="1"/>
  <c r="F152" i="5" s="1"/>
  <c r="E152" i="5" a="1"/>
  <c r="E152" i="5"/>
  <c r="A152" i="5"/>
  <c r="J151" i="5" a="1"/>
  <c r="J151" i="5"/>
  <c r="I151" i="5" a="1"/>
  <c r="I151" i="5"/>
  <c r="H151" i="5" a="1"/>
  <c r="H151" i="5"/>
  <c r="G151" i="5" a="1"/>
  <c r="G151" i="5"/>
  <c r="F151" i="5" a="1"/>
  <c r="F151" i="5"/>
  <c r="E151" i="5" a="1"/>
  <c r="E151" i="5"/>
  <c r="A151" i="5"/>
  <c r="J150" i="5" a="1"/>
  <c r="J150" i="5"/>
  <c r="I150" i="5" a="1"/>
  <c r="I150" i="5" s="1"/>
  <c r="H150" i="5" a="1"/>
  <c r="H150" i="5"/>
  <c r="G150" i="5" a="1"/>
  <c r="G150" i="5" s="1"/>
  <c r="F150" i="5" a="1"/>
  <c r="F150" i="5"/>
  <c r="E150" i="5" a="1"/>
  <c r="E150" i="5" s="1"/>
  <c r="A150" i="5"/>
  <c r="J149" i="5" a="1"/>
  <c r="J149" i="5" s="1"/>
  <c r="I149" i="5" a="1"/>
  <c r="I149" i="5"/>
  <c r="H149" i="5" a="1"/>
  <c r="H149" i="5" s="1"/>
  <c r="G149" i="5" a="1"/>
  <c r="G149" i="5"/>
  <c r="F149" i="5" a="1"/>
  <c r="F149" i="5" s="1"/>
  <c r="E149" i="5" a="1"/>
  <c r="E149" i="5"/>
  <c r="A149" i="5"/>
  <c r="J148" i="5" a="1"/>
  <c r="J148" i="5" s="1"/>
  <c r="I148" i="5" a="1"/>
  <c r="I148" i="5"/>
  <c r="H148" i="5" a="1"/>
  <c r="H148" i="5" s="1"/>
  <c r="G148" i="5" a="1"/>
  <c r="G148" i="5"/>
  <c r="F148" i="5" a="1"/>
  <c r="F148" i="5" s="1"/>
  <c r="E148" i="5" a="1"/>
  <c r="E148" i="5"/>
  <c r="A148" i="5"/>
  <c r="J147" i="5" a="1"/>
  <c r="J147" i="5"/>
  <c r="I147" i="5" a="1"/>
  <c r="I147" i="5" s="1"/>
  <c r="H147" i="5" a="1"/>
  <c r="H147" i="5"/>
  <c r="G147" i="5" a="1"/>
  <c r="G147" i="5" s="1"/>
  <c r="F147" i="5" a="1"/>
  <c r="F147" i="5"/>
  <c r="E147" i="5" a="1"/>
  <c r="E147" i="5" s="1"/>
  <c r="A147" i="5"/>
  <c r="J146" i="5" a="1"/>
  <c r="J146" i="5"/>
  <c r="I146" i="5" a="1"/>
  <c r="I146" i="5" s="1"/>
  <c r="H146" i="5" a="1"/>
  <c r="H146" i="5"/>
  <c r="G146" i="5" a="1"/>
  <c r="G146" i="5" s="1"/>
  <c r="F146" i="5" a="1"/>
  <c r="F146" i="5"/>
  <c r="E146" i="5" a="1"/>
  <c r="E146" i="5" s="1"/>
  <c r="A146" i="5"/>
  <c r="J145" i="5" a="1"/>
  <c r="J145" i="5"/>
  <c r="I145" i="5" a="1"/>
  <c r="I145" i="5"/>
  <c r="H145" i="5" a="1"/>
  <c r="H145" i="5"/>
  <c r="G145" i="5" a="1"/>
  <c r="G145" i="5"/>
  <c r="F145" i="5" a="1"/>
  <c r="F145" i="5"/>
  <c r="E145" i="5" a="1"/>
  <c r="E145" i="5"/>
  <c r="A145" i="5"/>
  <c r="J144" i="5" a="1"/>
  <c r="J144" i="5" s="1"/>
  <c r="I144" i="5" a="1"/>
  <c r="I144" i="5"/>
  <c r="H144" i="5" a="1"/>
  <c r="H144" i="5" s="1"/>
  <c r="G144" i="5" a="1"/>
  <c r="G144" i="5"/>
  <c r="F144" i="5" a="1"/>
  <c r="F144" i="5" s="1"/>
  <c r="E144" i="5" a="1"/>
  <c r="E144" i="5"/>
  <c r="A144" i="5"/>
  <c r="J143" i="5" a="1"/>
  <c r="J143" i="5"/>
  <c r="I143" i="5" a="1"/>
  <c r="I143" i="5"/>
  <c r="H143" i="5" a="1"/>
  <c r="H143" i="5"/>
  <c r="G143" i="5" a="1"/>
  <c r="G143" i="5"/>
  <c r="F143" i="5" a="1"/>
  <c r="F143" i="5"/>
  <c r="E143" i="5" a="1"/>
  <c r="E143" i="5"/>
  <c r="A143" i="5"/>
  <c r="J142" i="5" a="1"/>
  <c r="J142" i="5"/>
  <c r="I142" i="5" a="1"/>
  <c r="I142" i="5" s="1"/>
  <c r="H142" i="5" a="1"/>
  <c r="H142" i="5"/>
  <c r="G142" i="5" a="1"/>
  <c r="G142" i="5" s="1"/>
  <c r="F142" i="5" a="1"/>
  <c r="F142" i="5"/>
  <c r="E142" i="5" a="1"/>
  <c r="E142" i="5" s="1"/>
  <c r="A142" i="5"/>
  <c r="J141" i="5" a="1"/>
  <c r="J141" i="5" s="1"/>
  <c r="I141" i="5" a="1"/>
  <c r="I141" i="5"/>
  <c r="H141" i="5" a="1"/>
  <c r="H141" i="5" s="1"/>
  <c r="G141" i="5" a="1"/>
  <c r="G141" i="5"/>
  <c r="F141" i="5" a="1"/>
  <c r="F141" i="5" s="1"/>
  <c r="E141" i="5" a="1"/>
  <c r="E141" i="5"/>
  <c r="A141" i="5"/>
  <c r="J140" i="5" a="1"/>
  <c r="J140" i="5" s="1"/>
  <c r="I140" i="5" a="1"/>
  <c r="I140" i="5"/>
  <c r="H140" i="5" a="1"/>
  <c r="H140" i="5" s="1"/>
  <c r="G140" i="5" a="1"/>
  <c r="G140" i="5" s="1"/>
  <c r="F140" i="5" a="1"/>
  <c r="F140" i="5" s="1"/>
  <c r="E140" i="5" a="1"/>
  <c r="E140" i="5" s="1"/>
  <c r="A140" i="5"/>
  <c r="J139" i="5" a="1"/>
  <c r="J139" i="5"/>
  <c r="I139" i="5" a="1"/>
  <c r="I139" i="5" s="1"/>
  <c r="H139" i="5" a="1"/>
  <c r="H139" i="5"/>
  <c r="G139" i="5" a="1"/>
  <c r="G139" i="5" s="1"/>
  <c r="F139" i="5" a="1"/>
  <c r="F139" i="5"/>
  <c r="E139" i="5" a="1"/>
  <c r="E139" i="5" s="1"/>
  <c r="A139" i="5"/>
  <c r="J138" i="5" a="1"/>
  <c r="J138" i="5" s="1"/>
  <c r="I138" i="5" a="1"/>
  <c r="I138" i="5" s="1"/>
  <c r="H138" i="5" a="1"/>
  <c r="H138" i="5"/>
  <c r="G138" i="5" a="1"/>
  <c r="G138" i="5" s="1"/>
  <c r="F138" i="5" a="1"/>
  <c r="F138" i="5"/>
  <c r="E138" i="5" a="1"/>
  <c r="E138" i="5" s="1"/>
  <c r="A138" i="5"/>
  <c r="J137" i="5" a="1"/>
  <c r="J137" i="5"/>
  <c r="I137" i="5" a="1"/>
  <c r="I137" i="5"/>
  <c r="H137" i="5" a="1"/>
  <c r="H137" i="5"/>
  <c r="G137" i="5" a="1"/>
  <c r="G137" i="5"/>
  <c r="F137" i="5" a="1"/>
  <c r="F137" i="5"/>
  <c r="E137" i="5" a="1"/>
  <c r="E137" i="5"/>
  <c r="A137" i="5"/>
  <c r="J136" i="5" a="1"/>
  <c r="J136" i="5" s="1"/>
  <c r="I136" i="5" a="1"/>
  <c r="I136" i="5" s="1"/>
  <c r="H136" i="5" a="1"/>
  <c r="H136" i="5" s="1"/>
  <c r="G136" i="5" a="1"/>
  <c r="G136" i="5"/>
  <c r="F136" i="5" a="1"/>
  <c r="F136" i="5" s="1"/>
  <c r="E136" i="5" a="1"/>
  <c r="E136" i="5"/>
  <c r="A136" i="5"/>
  <c r="J135" i="5" a="1"/>
  <c r="J135" i="5"/>
  <c r="I135" i="5" a="1"/>
  <c r="I135" i="5"/>
  <c r="H135" i="5" a="1"/>
  <c r="H135" i="5"/>
  <c r="G135" i="5" a="1"/>
  <c r="G135" i="5"/>
  <c r="F135" i="5" a="1"/>
  <c r="F135" i="5"/>
  <c r="E135" i="5" a="1"/>
  <c r="E135" i="5"/>
  <c r="A135" i="5"/>
  <c r="J134" i="5" a="1"/>
  <c r="J134" i="5"/>
  <c r="I134" i="5" a="1"/>
  <c r="I134" i="5" s="1"/>
  <c r="H134" i="5" a="1"/>
  <c r="H134" i="5" s="1"/>
  <c r="G134" i="5" a="1"/>
  <c r="G134" i="5" s="1"/>
  <c r="F134" i="5" a="1"/>
  <c r="F134" i="5" s="1"/>
  <c r="E134" i="5" a="1"/>
  <c r="E134" i="5" s="1"/>
  <c r="A134" i="5"/>
  <c r="J133" i="5" a="1"/>
  <c r="J133" i="5" s="1"/>
  <c r="I133" i="5" a="1"/>
  <c r="I133" i="5"/>
  <c r="H133" i="5" a="1"/>
  <c r="H133" i="5" s="1"/>
  <c r="G133" i="5" a="1"/>
  <c r="G133" i="5"/>
  <c r="F133" i="5" a="1"/>
  <c r="F133" i="5" s="1"/>
  <c r="E133" i="5" a="1"/>
  <c r="E133" i="5"/>
  <c r="A133" i="5"/>
  <c r="J132" i="5" a="1"/>
  <c r="J132" i="5" s="1"/>
  <c r="I132" i="5" a="1"/>
  <c r="I132" i="5"/>
  <c r="H132" i="5" a="1"/>
  <c r="H132" i="5" s="1"/>
  <c r="G132" i="5" a="1"/>
  <c r="G132" i="5" s="1"/>
  <c r="F132" i="5" a="1"/>
  <c r="F132" i="5" s="1"/>
  <c r="E132" i="5" a="1"/>
  <c r="E132" i="5" s="1"/>
  <c r="A132" i="5"/>
  <c r="J131" i="5" a="1"/>
  <c r="J131" i="5"/>
  <c r="I131" i="5" a="1"/>
  <c r="I131" i="5" s="1"/>
  <c r="H131" i="5" a="1"/>
  <c r="H131" i="5"/>
  <c r="G131" i="5" a="1"/>
  <c r="G131" i="5" s="1"/>
  <c r="F131" i="5" a="1"/>
  <c r="F131" i="5"/>
  <c r="E131" i="5" a="1"/>
  <c r="E131" i="5" s="1"/>
  <c r="A131" i="5"/>
  <c r="J130" i="5" a="1"/>
  <c r="J130" i="5" s="1"/>
  <c r="I130" i="5" a="1"/>
  <c r="I130" i="5" s="1"/>
  <c r="H130" i="5" a="1"/>
  <c r="H130" i="5"/>
  <c r="G130" i="5" a="1"/>
  <c r="G130" i="5" s="1"/>
  <c r="F130" i="5" a="1"/>
  <c r="F130" i="5"/>
  <c r="E130" i="5" a="1"/>
  <c r="E130" i="5" s="1"/>
  <c r="A130" i="5"/>
  <c r="J129" i="5" a="1"/>
  <c r="J129" i="5"/>
  <c r="I129" i="5" a="1"/>
  <c r="I129" i="5"/>
  <c r="H129" i="5" a="1"/>
  <c r="H129" i="5"/>
  <c r="G129" i="5" a="1"/>
  <c r="G129" i="5"/>
  <c r="F129" i="5" a="1"/>
  <c r="F129" i="5"/>
  <c r="E129" i="5" a="1"/>
  <c r="E129" i="5"/>
  <c r="A129" i="5"/>
  <c r="J128" i="5" a="1"/>
  <c r="J128" i="5" s="1"/>
  <c r="I128" i="5" a="1"/>
  <c r="I128" i="5" s="1"/>
  <c r="H128" i="5" a="1"/>
  <c r="H128" i="5" s="1"/>
  <c r="G128" i="5" a="1"/>
  <c r="G128" i="5"/>
  <c r="F128" i="5" a="1"/>
  <c r="F128" i="5" s="1"/>
  <c r="E128" i="5" a="1"/>
  <c r="E128" i="5"/>
  <c r="A128" i="5"/>
  <c r="J127" i="5" a="1"/>
  <c r="J127" i="5"/>
  <c r="I127" i="5" a="1"/>
  <c r="I127" i="5"/>
  <c r="H127" i="5" a="1"/>
  <c r="H127" i="5"/>
  <c r="G127" i="5" a="1"/>
  <c r="G127" i="5"/>
  <c r="F127" i="5" a="1"/>
  <c r="F127" i="5"/>
  <c r="E127" i="5" a="1"/>
  <c r="E127" i="5"/>
  <c r="A127" i="5"/>
  <c r="J126" i="5" a="1"/>
  <c r="J126" i="5"/>
  <c r="I126" i="5" a="1"/>
  <c r="I126" i="5" s="1"/>
  <c r="H126" i="5" a="1"/>
  <c r="H126" i="5" s="1"/>
  <c r="G126" i="5" a="1"/>
  <c r="G126" i="5" s="1"/>
  <c r="F126" i="5" a="1"/>
  <c r="F126" i="5" s="1"/>
  <c r="E126" i="5" a="1"/>
  <c r="E126" i="5" s="1"/>
  <c r="A126" i="5"/>
  <c r="J125" i="5" a="1"/>
  <c r="J125" i="5" s="1"/>
  <c r="I125" i="5" a="1"/>
  <c r="I125" i="5"/>
  <c r="H125" i="5" a="1"/>
  <c r="H125" i="5" s="1"/>
  <c r="G125" i="5" a="1"/>
  <c r="G125" i="5"/>
  <c r="F125" i="5" a="1"/>
  <c r="F125" i="5" s="1"/>
  <c r="E125" i="5" a="1"/>
  <c r="E125" i="5"/>
  <c r="A125" i="5"/>
  <c r="J124" i="5" a="1"/>
  <c r="J124" i="5"/>
  <c r="I124" i="5" a="1"/>
  <c r="I124" i="5"/>
  <c r="H124" i="5" a="1"/>
  <c r="H124" i="5"/>
  <c r="G124" i="5" a="1"/>
  <c r="G124" i="5"/>
  <c r="F124" i="5" a="1"/>
  <c r="F124" i="5" s="1"/>
  <c r="E124" i="5" a="1"/>
  <c r="E124" i="5"/>
  <c r="A124" i="5"/>
  <c r="J123" i="5" a="1"/>
  <c r="J123" i="5"/>
  <c r="I123" i="5" a="1"/>
  <c r="I123" i="5" s="1"/>
  <c r="H123" i="5" a="1"/>
  <c r="H123" i="5"/>
  <c r="G123" i="5" a="1"/>
  <c r="G123" i="5" s="1"/>
  <c r="F123" i="5" a="1"/>
  <c r="F123" i="5"/>
  <c r="E123" i="5" a="1"/>
  <c r="E123" i="5" s="1"/>
  <c r="A123" i="5"/>
  <c r="J122" i="5" a="1"/>
  <c r="J122" i="5"/>
  <c r="I122" i="5" a="1"/>
  <c r="I122" i="5"/>
  <c r="H122" i="5" a="1"/>
  <c r="H122" i="5"/>
  <c r="G122" i="5" a="1"/>
  <c r="G122" i="5"/>
  <c r="F122" i="5" a="1"/>
  <c r="F122" i="5"/>
  <c r="E122" i="5" a="1"/>
  <c r="E122" i="5" s="1"/>
  <c r="A122" i="5"/>
  <c r="J121" i="5" a="1"/>
  <c r="J121" i="5" s="1"/>
  <c r="I121" i="5" a="1"/>
  <c r="I121" i="5"/>
  <c r="H121" i="5" a="1"/>
  <c r="H121" i="5" s="1"/>
  <c r="G121" i="5" a="1"/>
  <c r="G121" i="5"/>
  <c r="F121" i="5" a="1"/>
  <c r="F121" i="5" s="1"/>
  <c r="E121" i="5" a="1"/>
  <c r="E121" i="5"/>
  <c r="A121" i="5"/>
  <c r="J120" i="5" a="1"/>
  <c r="J120" i="5"/>
  <c r="I120" i="5" a="1"/>
  <c r="I120" i="5"/>
  <c r="H120" i="5" a="1"/>
  <c r="H120" i="5"/>
  <c r="G120" i="5" a="1"/>
  <c r="G120" i="5"/>
  <c r="F120" i="5" a="1"/>
  <c r="F120" i="5" s="1"/>
  <c r="E120" i="5" a="1"/>
  <c r="E120" i="5"/>
  <c r="A120" i="5"/>
  <c r="J119" i="5" a="1"/>
  <c r="J119" i="5"/>
  <c r="I119" i="5" a="1"/>
  <c r="I119" i="5" s="1"/>
  <c r="H119" i="5" a="1"/>
  <c r="H119" i="5"/>
  <c r="G119" i="5" a="1"/>
  <c r="G119" i="5" s="1"/>
  <c r="F119" i="5" a="1"/>
  <c r="F119" i="5"/>
  <c r="E119" i="5" a="1"/>
  <c r="E119" i="5" s="1"/>
  <c r="A119" i="5"/>
  <c r="J118" i="5" a="1"/>
  <c r="J118" i="5"/>
  <c r="I118" i="5" a="1"/>
  <c r="I118" i="5"/>
  <c r="H118" i="5" a="1"/>
  <c r="H118" i="5"/>
  <c r="G118" i="5" a="1"/>
  <c r="G118" i="5"/>
  <c r="F118" i="5" a="1"/>
  <c r="F118" i="5"/>
  <c r="E118" i="5" a="1"/>
  <c r="E118" i="5" s="1"/>
  <c r="A118" i="5"/>
  <c r="J117" i="5" a="1"/>
  <c r="J117" i="5" s="1"/>
  <c r="I117" i="5" a="1"/>
  <c r="I117" i="5"/>
  <c r="H117" i="5" a="1"/>
  <c r="H117" i="5" s="1"/>
  <c r="G117" i="5" a="1"/>
  <c r="G117" i="5"/>
  <c r="F117" i="5" a="1"/>
  <c r="F117" i="5" s="1"/>
  <c r="E117" i="5" a="1"/>
  <c r="E117" i="5"/>
  <c r="A117" i="5"/>
  <c r="J116" i="5" a="1"/>
  <c r="J116" i="5"/>
  <c r="I116" i="5" a="1"/>
  <c r="I116" i="5"/>
  <c r="H116" i="5" a="1"/>
  <c r="H116" i="5"/>
  <c r="G116" i="5" a="1"/>
  <c r="G116" i="5"/>
  <c r="F116" i="5" a="1"/>
  <c r="F116" i="5" s="1"/>
  <c r="E116" i="5" a="1"/>
  <c r="E116" i="5"/>
  <c r="A116" i="5"/>
  <c r="J115" i="5" a="1"/>
  <c r="J115" i="5"/>
  <c r="I115" i="5" a="1"/>
  <c r="I115" i="5" s="1"/>
  <c r="H115" i="5" a="1"/>
  <c r="H115" i="5"/>
  <c r="G115" i="5" a="1"/>
  <c r="G115" i="5" s="1"/>
  <c r="F115" i="5" a="1"/>
  <c r="F115" i="5"/>
  <c r="E115" i="5" a="1"/>
  <c r="E115" i="5" s="1"/>
  <c r="A115" i="5"/>
  <c r="J114" i="5" a="1"/>
  <c r="J114" i="5"/>
  <c r="I114" i="5" a="1"/>
  <c r="I114" i="5"/>
  <c r="H114" i="5" a="1"/>
  <c r="H114" i="5"/>
  <c r="G114" i="5" a="1"/>
  <c r="G114" i="5"/>
  <c r="F114" i="5" a="1"/>
  <c r="F114" i="5"/>
  <c r="E114" i="5" a="1"/>
  <c r="E114" i="5" s="1"/>
  <c r="A114" i="5"/>
  <c r="J113" i="5" a="1"/>
  <c r="J113" i="5" s="1"/>
  <c r="I113" i="5" a="1"/>
  <c r="I113" i="5"/>
  <c r="H113" i="5" a="1"/>
  <c r="H113" i="5" s="1"/>
  <c r="G113" i="5" a="1"/>
  <c r="G113" i="5"/>
  <c r="F113" i="5" a="1"/>
  <c r="F113" i="5" s="1"/>
  <c r="E113" i="5" a="1"/>
  <c r="E113" i="5"/>
  <c r="A113" i="5"/>
  <c r="J112" i="5" a="1"/>
  <c r="J112" i="5"/>
  <c r="I112" i="5" a="1"/>
  <c r="I112" i="5"/>
  <c r="H112" i="5" a="1"/>
  <c r="H112" i="5" s="1"/>
  <c r="G112" i="5" a="1"/>
  <c r="G112" i="5"/>
  <c r="F112" i="5" a="1"/>
  <c r="F112" i="5" s="1"/>
  <c r="E112" i="5" a="1"/>
  <c r="E112" i="5"/>
  <c r="A112" i="5"/>
  <c r="J111" i="5" a="1"/>
  <c r="J111" i="5"/>
  <c r="I111" i="5" a="1"/>
  <c r="I111" i="5" s="1"/>
  <c r="H111" i="5" a="1"/>
  <c r="H111" i="5"/>
  <c r="G111" i="5" a="1"/>
  <c r="G111" i="5" s="1"/>
  <c r="F111" i="5" a="1"/>
  <c r="F111" i="5"/>
  <c r="E111" i="5" a="1"/>
  <c r="E111" i="5" s="1"/>
  <c r="A111" i="5"/>
  <c r="J110" i="5" a="1"/>
  <c r="J110" i="5"/>
  <c r="I110" i="5" a="1"/>
  <c r="I110" i="5"/>
  <c r="H110" i="5" a="1"/>
  <c r="H110" i="5"/>
  <c r="G110" i="5" a="1"/>
  <c r="G110" i="5"/>
  <c r="F110" i="5" a="1"/>
  <c r="F110" i="5"/>
  <c r="E110" i="5" a="1"/>
  <c r="E110" i="5" s="1"/>
  <c r="A110" i="5"/>
  <c r="J109" i="5" a="1"/>
  <c r="J109" i="5" s="1"/>
  <c r="I109" i="5" a="1"/>
  <c r="I109" i="5"/>
  <c r="H109" i="5" a="1"/>
  <c r="H109" i="5" s="1"/>
  <c r="G109" i="5" a="1"/>
  <c r="G109" i="5"/>
  <c r="F109" i="5" a="1"/>
  <c r="F109" i="5" s="1"/>
  <c r="E109" i="5" a="1"/>
  <c r="E109" i="5"/>
  <c r="A109" i="5"/>
  <c r="J108" i="5" a="1"/>
  <c r="J108" i="5"/>
  <c r="I108" i="5" a="1"/>
  <c r="I108" i="5"/>
  <c r="H108" i="5" a="1"/>
  <c r="H108" i="5"/>
  <c r="G108" i="5" a="1"/>
  <c r="G108" i="5"/>
  <c r="F108" i="5" a="1"/>
  <c r="F108" i="5" s="1"/>
  <c r="E108" i="5" a="1"/>
  <c r="E108" i="5"/>
  <c r="A108" i="5"/>
  <c r="J107" i="5" a="1"/>
  <c r="J107" i="5"/>
  <c r="I107" i="5" a="1"/>
  <c r="I107" i="5" s="1"/>
  <c r="H107" i="5" a="1"/>
  <c r="H107" i="5"/>
  <c r="G107" i="5" a="1"/>
  <c r="G107" i="5" s="1"/>
  <c r="F107" i="5" a="1"/>
  <c r="F107" i="5"/>
  <c r="E107" i="5" a="1"/>
  <c r="E107" i="5" s="1"/>
  <c r="A107" i="5"/>
  <c r="J106" i="5" a="1"/>
  <c r="J106" i="5"/>
  <c r="I106" i="5" a="1"/>
  <c r="I106" i="5"/>
  <c r="H106" i="5" a="1"/>
  <c r="H106" i="5"/>
  <c r="G106" i="5" a="1"/>
  <c r="G106" i="5"/>
  <c r="F106" i="5" a="1"/>
  <c r="F106" i="5"/>
  <c r="E106" i="5" a="1"/>
  <c r="E106" i="5" s="1"/>
  <c r="A106" i="5"/>
  <c r="J105" i="5" a="1"/>
  <c r="J105" i="5" s="1"/>
  <c r="I105" i="5" a="1"/>
  <c r="I105" i="5"/>
  <c r="H105" i="5" a="1"/>
  <c r="H105" i="5" s="1"/>
  <c r="G105" i="5" a="1"/>
  <c r="G105" i="5"/>
  <c r="F105" i="5" a="1"/>
  <c r="F105" i="5" s="1"/>
  <c r="E105" i="5" a="1"/>
  <c r="E105" i="5"/>
  <c r="A105" i="5"/>
  <c r="J104" i="5" a="1"/>
  <c r="J104" i="5"/>
  <c r="I104" i="5" a="1"/>
  <c r="I104" i="5"/>
  <c r="H104" i="5" a="1"/>
  <c r="H104" i="5"/>
  <c r="G104" i="5" a="1"/>
  <c r="G104" i="5"/>
  <c r="F104" i="5" a="1"/>
  <c r="F104" i="5"/>
  <c r="E104" i="5" a="1"/>
  <c r="E104" i="5"/>
  <c r="A104" i="5"/>
  <c r="J103" i="5" a="1"/>
  <c r="J103" i="5"/>
  <c r="I103" i="5" a="1"/>
  <c r="I103" i="5" s="1"/>
  <c r="H103" i="5" a="1"/>
  <c r="H103" i="5"/>
  <c r="G103" i="5" a="1"/>
  <c r="G103" i="5" s="1"/>
  <c r="F103" i="5" a="1"/>
  <c r="F103" i="5"/>
  <c r="E103" i="5" a="1"/>
  <c r="E103" i="5" s="1"/>
  <c r="A103" i="5"/>
  <c r="J102" i="5" a="1"/>
  <c r="J102" i="5"/>
  <c r="I102" i="5" a="1"/>
  <c r="I102" i="5"/>
  <c r="H102" i="5" a="1"/>
  <c r="H102" i="5"/>
  <c r="G102" i="5" a="1"/>
  <c r="G102" i="5"/>
  <c r="F102" i="5" a="1"/>
  <c r="F102" i="5"/>
  <c r="E102" i="5" a="1"/>
  <c r="E102" i="5"/>
  <c r="A102" i="5"/>
  <c r="J101" i="5" a="1"/>
  <c r="J101" i="5" s="1"/>
  <c r="I101" i="5" a="1"/>
  <c r="I101" i="5"/>
  <c r="H101" i="5" a="1"/>
  <c r="H101" i="5" s="1"/>
  <c r="G101" i="5" a="1"/>
  <c r="G101" i="5"/>
  <c r="F101" i="5" a="1"/>
  <c r="F101" i="5" s="1"/>
  <c r="E101" i="5" a="1"/>
  <c r="E101" i="5"/>
  <c r="A101" i="5"/>
  <c r="J100" i="5" a="1"/>
  <c r="J100" i="5"/>
  <c r="I100" i="5" a="1"/>
  <c r="I100" i="5"/>
  <c r="H100" i="5" a="1"/>
  <c r="H100" i="5"/>
  <c r="G100" i="5" a="1"/>
  <c r="G100" i="5"/>
  <c r="F100" i="5" a="1"/>
  <c r="F100" i="5"/>
  <c r="E100" i="5" a="1"/>
  <c r="E100" i="5"/>
  <c r="A100" i="5"/>
  <c r="J99" i="5" a="1"/>
  <c r="J99" i="5"/>
  <c r="I99" i="5" a="1"/>
  <c r="I99" i="5" s="1"/>
  <c r="H99" i="5" a="1"/>
  <c r="H99" i="5"/>
  <c r="G99" i="5" a="1"/>
  <c r="G99" i="5" s="1"/>
  <c r="F99" i="5" a="1"/>
  <c r="F99" i="5"/>
  <c r="E99" i="5" a="1"/>
  <c r="E99" i="5" s="1"/>
  <c r="A99" i="5"/>
  <c r="J98" i="5" a="1"/>
  <c r="J98" i="5"/>
  <c r="I98" i="5" a="1"/>
  <c r="I98" i="5"/>
  <c r="H98" i="5" a="1"/>
  <c r="H98" i="5"/>
  <c r="G98" i="5" a="1"/>
  <c r="G98" i="5"/>
  <c r="F98" i="5" a="1"/>
  <c r="F98" i="5"/>
  <c r="E98" i="5" a="1"/>
  <c r="E98" i="5"/>
  <c r="A98" i="5"/>
  <c r="J97" i="5" a="1"/>
  <c r="J97" i="5" s="1"/>
  <c r="I97" i="5" a="1"/>
  <c r="I97" i="5"/>
  <c r="H97" i="5" a="1"/>
  <c r="H97" i="5" s="1"/>
  <c r="G97" i="5" a="1"/>
  <c r="G97" i="5"/>
  <c r="F97" i="5" a="1"/>
  <c r="F97" i="5" s="1"/>
  <c r="E97" i="5" a="1"/>
  <c r="E97" i="5"/>
  <c r="A97" i="5"/>
  <c r="J96" i="5" a="1"/>
  <c r="J96" i="5"/>
  <c r="I96" i="5" a="1"/>
  <c r="I96" i="5"/>
  <c r="H96" i="5" a="1"/>
  <c r="H96" i="5"/>
  <c r="G96" i="5" a="1"/>
  <c r="G96" i="5"/>
  <c r="F96" i="5" a="1"/>
  <c r="F96" i="5"/>
  <c r="E96" i="5" a="1"/>
  <c r="E96" i="5"/>
  <c r="A96" i="5"/>
  <c r="J95" i="5" a="1"/>
  <c r="J95" i="5"/>
  <c r="I95" i="5" a="1"/>
  <c r="I95" i="5" s="1"/>
  <c r="H95" i="5" a="1"/>
  <c r="H95" i="5"/>
  <c r="G95" i="5" a="1"/>
  <c r="G95" i="5" s="1"/>
  <c r="F95" i="5" a="1"/>
  <c r="F95" i="5"/>
  <c r="E95" i="5" a="1"/>
  <c r="E95" i="5" s="1"/>
  <c r="A95" i="5"/>
  <c r="J94" i="5" a="1"/>
  <c r="J94" i="5"/>
  <c r="I94" i="5" a="1"/>
  <c r="I94" i="5"/>
  <c r="H94" i="5" a="1"/>
  <c r="H94" i="5"/>
  <c r="G94" i="5" a="1"/>
  <c r="G94" i="5"/>
  <c r="F94" i="5" a="1"/>
  <c r="F94" i="5"/>
  <c r="E94" i="5" a="1"/>
  <c r="E94" i="5"/>
  <c r="A94" i="5"/>
  <c r="J93" i="5" a="1"/>
  <c r="J93" i="5" s="1"/>
  <c r="I93" i="5" a="1"/>
  <c r="I93" i="5"/>
  <c r="H93" i="5" a="1"/>
  <c r="H93" i="5" s="1"/>
  <c r="G93" i="5" a="1"/>
  <c r="G93" i="5"/>
  <c r="F93" i="5" a="1"/>
  <c r="F93" i="5" s="1"/>
  <c r="E93" i="5" a="1"/>
  <c r="E93" i="5"/>
  <c r="A93" i="5"/>
  <c r="J92" i="5" a="1"/>
  <c r="J92" i="5" s="1"/>
  <c r="I92" i="5" a="1"/>
  <c r="I92" i="5"/>
  <c r="H92" i="5" a="1"/>
  <c r="H92" i="5" s="1"/>
  <c r="G92" i="5" a="1"/>
  <c r="G92" i="5"/>
  <c r="F92" i="5" a="1"/>
  <c r="F92" i="5" s="1"/>
  <c r="E92" i="5" a="1"/>
  <c r="E92" i="5"/>
  <c r="A92" i="5"/>
  <c r="J91" i="5" a="1"/>
  <c r="J91" i="5"/>
  <c r="I91" i="5" a="1"/>
  <c r="I91" i="5" s="1"/>
  <c r="H91" i="5" a="1"/>
  <c r="H91" i="5"/>
  <c r="G91" i="5" a="1"/>
  <c r="G91" i="5" s="1"/>
  <c r="F91" i="5" a="1"/>
  <c r="F91" i="5"/>
  <c r="E91" i="5" a="1"/>
  <c r="E91" i="5" s="1"/>
  <c r="A91" i="5"/>
  <c r="J90" i="5" a="1"/>
  <c r="J90" i="5"/>
  <c r="I90" i="5" a="1"/>
  <c r="I90" i="5" s="1"/>
  <c r="H90" i="5" a="1"/>
  <c r="H90" i="5"/>
  <c r="G90" i="5" a="1"/>
  <c r="G90" i="5" s="1"/>
  <c r="F90" i="5" a="1"/>
  <c r="F90" i="5"/>
  <c r="E90" i="5" a="1"/>
  <c r="E90" i="5" s="1"/>
  <c r="A90" i="5"/>
  <c r="J89" i="5" a="1"/>
  <c r="J89" i="5" s="1"/>
  <c r="I89" i="5" a="1"/>
  <c r="I89" i="5"/>
  <c r="H89" i="5" a="1"/>
  <c r="H89" i="5" s="1"/>
  <c r="G89" i="5" a="1"/>
  <c r="G89" i="5"/>
  <c r="F89" i="5" a="1"/>
  <c r="F89" i="5" s="1"/>
  <c r="E89" i="5" a="1"/>
  <c r="E89" i="5"/>
  <c r="A89" i="5"/>
  <c r="J88" i="5" a="1"/>
  <c r="J88" i="5" s="1"/>
  <c r="I88" i="5" a="1"/>
  <c r="I88" i="5"/>
  <c r="H88" i="5" a="1"/>
  <c r="H88" i="5" s="1"/>
  <c r="G88" i="5" a="1"/>
  <c r="G88" i="5"/>
  <c r="F88" i="5" a="1"/>
  <c r="F88" i="5" s="1"/>
  <c r="E88" i="5" a="1"/>
  <c r="E88" i="5"/>
  <c r="A88" i="5"/>
  <c r="J87" i="5" a="1"/>
  <c r="J87" i="5"/>
  <c r="I87" i="5" a="1"/>
  <c r="I87" i="5" s="1"/>
  <c r="H87" i="5" a="1"/>
  <c r="H87" i="5"/>
  <c r="G87" i="5" a="1"/>
  <c r="G87" i="5" s="1"/>
  <c r="F87" i="5" a="1"/>
  <c r="F87" i="5"/>
  <c r="E87" i="5" a="1"/>
  <c r="E87" i="5" s="1"/>
  <c r="A87" i="5"/>
  <c r="J86" i="5" a="1"/>
  <c r="J86" i="5"/>
  <c r="I86" i="5" a="1"/>
  <c r="I86" i="5" s="1"/>
  <c r="H86" i="5" a="1"/>
  <c r="H86" i="5"/>
  <c r="G86" i="5" a="1"/>
  <c r="G86" i="5" s="1"/>
  <c r="F86" i="5" a="1"/>
  <c r="F86" i="5"/>
  <c r="E86" i="5" a="1"/>
  <c r="E86" i="5" s="1"/>
  <c r="A86" i="5"/>
  <c r="J85" i="5" a="1"/>
  <c r="J85" i="5" s="1"/>
  <c r="I85" i="5" a="1"/>
  <c r="I85" i="5"/>
  <c r="H85" i="5" a="1"/>
  <c r="H85" i="5" s="1"/>
  <c r="G85" i="5" a="1"/>
  <c r="G85" i="5"/>
  <c r="F85" i="5" a="1"/>
  <c r="F85" i="5" s="1"/>
  <c r="E85" i="5" a="1"/>
  <c r="E85" i="5"/>
  <c r="A85" i="5"/>
  <c r="J84" i="5" a="1"/>
  <c r="J84" i="5" s="1"/>
  <c r="I84" i="5" a="1"/>
  <c r="I84" i="5"/>
  <c r="H84" i="5" a="1"/>
  <c r="H84" i="5" s="1"/>
  <c r="G84" i="5" a="1"/>
  <c r="G84" i="5"/>
  <c r="F84" i="5" a="1"/>
  <c r="F84" i="5" s="1"/>
  <c r="E84" i="5" a="1"/>
  <c r="E84" i="5"/>
  <c r="A84" i="5"/>
  <c r="J83" i="5" a="1"/>
  <c r="J83" i="5"/>
  <c r="I83" i="5" a="1"/>
  <c r="I83" i="5" s="1"/>
  <c r="H83" i="5" a="1"/>
  <c r="H83" i="5"/>
  <c r="G83" i="5" a="1"/>
  <c r="G83" i="5" s="1"/>
  <c r="F83" i="5" a="1"/>
  <c r="F83" i="5"/>
  <c r="E83" i="5" a="1"/>
  <c r="E83" i="5" s="1"/>
  <c r="A83" i="5"/>
  <c r="J82" i="5" a="1"/>
  <c r="J82" i="5"/>
  <c r="I82" i="5" a="1"/>
  <c r="I82" i="5" s="1"/>
  <c r="H82" i="5" a="1"/>
  <c r="H82" i="5"/>
  <c r="G82" i="5" a="1"/>
  <c r="G82" i="5" s="1"/>
  <c r="F82" i="5" a="1"/>
  <c r="F82" i="5"/>
  <c r="E82" i="5" a="1"/>
  <c r="E82" i="5" s="1"/>
  <c r="A82" i="5"/>
  <c r="J81" i="5" a="1"/>
  <c r="J81" i="5" s="1"/>
  <c r="I81" i="5" a="1"/>
  <c r="I81" i="5"/>
  <c r="H81" i="5" a="1"/>
  <c r="H81" i="5" s="1"/>
  <c r="G81" i="5" a="1"/>
  <c r="G81" i="5"/>
  <c r="F81" i="5" a="1"/>
  <c r="F81" i="5" s="1"/>
  <c r="E81" i="5" a="1"/>
  <c r="E81" i="5"/>
  <c r="A81" i="5"/>
  <c r="J80" i="5" a="1"/>
  <c r="J80" i="5" s="1"/>
  <c r="I80" i="5" a="1"/>
  <c r="I80" i="5"/>
  <c r="H80" i="5" a="1"/>
  <c r="H80" i="5" s="1"/>
  <c r="G80" i="5" a="1"/>
  <c r="G80" i="5"/>
  <c r="F80" i="5" a="1"/>
  <c r="F80" i="5" s="1"/>
  <c r="E80" i="5" a="1"/>
  <c r="E80" i="5"/>
  <c r="A80" i="5"/>
  <c r="J79" i="5" a="1"/>
  <c r="J79" i="5"/>
  <c r="I79" i="5" a="1"/>
  <c r="I79" i="5" s="1"/>
  <c r="H79" i="5" a="1"/>
  <c r="H79" i="5"/>
  <c r="G79" i="5" a="1"/>
  <c r="G79" i="5" s="1"/>
  <c r="F79" i="5" a="1"/>
  <c r="F79" i="5"/>
  <c r="E79" i="5" a="1"/>
  <c r="E79" i="5" s="1"/>
  <c r="A79" i="5"/>
  <c r="J78" i="5" a="1"/>
  <c r="J78" i="5"/>
  <c r="I78" i="5" a="1"/>
  <c r="I78" i="5" s="1"/>
  <c r="H78" i="5" a="1"/>
  <c r="H78" i="5"/>
  <c r="G78" i="5" a="1"/>
  <c r="G78" i="5" s="1"/>
  <c r="F78" i="5" a="1"/>
  <c r="F78" i="5"/>
  <c r="E78" i="5" a="1"/>
  <c r="E78" i="5" s="1"/>
  <c r="A78" i="5"/>
  <c r="J77" i="5" a="1"/>
  <c r="J77" i="5" s="1"/>
  <c r="I77" i="5" a="1"/>
  <c r="I77" i="5"/>
  <c r="H77" i="5" a="1"/>
  <c r="H77" i="5" s="1"/>
  <c r="G77" i="5" a="1"/>
  <c r="G77" i="5"/>
  <c r="F77" i="5" a="1"/>
  <c r="F77" i="5" s="1"/>
  <c r="E77" i="5" a="1"/>
  <c r="E77" i="5"/>
  <c r="A77" i="5"/>
  <c r="J76" i="5" a="1"/>
  <c r="J76" i="5" s="1"/>
  <c r="I76" i="5" a="1"/>
  <c r="I76" i="5"/>
  <c r="H76" i="5" a="1"/>
  <c r="H76" i="5" s="1"/>
  <c r="G76" i="5" a="1"/>
  <c r="G76" i="5"/>
  <c r="F76" i="5" a="1"/>
  <c r="F76" i="5" s="1"/>
  <c r="E76" i="5" a="1"/>
  <c r="E76" i="5"/>
  <c r="A76" i="5"/>
  <c r="J75" i="5" a="1"/>
  <c r="J75" i="5"/>
  <c r="I75" i="5" a="1"/>
  <c r="I75" i="5" s="1"/>
  <c r="H75" i="5" a="1"/>
  <c r="H75" i="5"/>
  <c r="G75" i="5" a="1"/>
  <c r="G75" i="5" s="1"/>
  <c r="F75" i="5" a="1"/>
  <c r="F75" i="5"/>
  <c r="E75" i="5" a="1"/>
  <c r="E75" i="5" s="1"/>
  <c r="A75" i="5"/>
  <c r="J74" i="5" a="1"/>
  <c r="J74" i="5"/>
  <c r="I74" i="5" a="1"/>
  <c r="I74" i="5" s="1"/>
  <c r="H74" i="5" a="1"/>
  <c r="H74" i="5"/>
  <c r="G74" i="5" a="1"/>
  <c r="G74" i="5" s="1"/>
  <c r="F74" i="5" a="1"/>
  <c r="F74" i="5"/>
  <c r="E74" i="5" a="1"/>
  <c r="E74" i="5" s="1"/>
  <c r="A74" i="5"/>
  <c r="J73" i="5" a="1"/>
  <c r="J73" i="5" s="1"/>
  <c r="I73" i="5" a="1"/>
  <c r="I73" i="5"/>
  <c r="H73" i="5" a="1"/>
  <c r="H73" i="5" s="1"/>
  <c r="G73" i="5" a="1"/>
  <c r="G73" i="5"/>
  <c r="F73" i="5" a="1"/>
  <c r="F73" i="5" s="1"/>
  <c r="E73" i="5" a="1"/>
  <c r="E73" i="5"/>
  <c r="A73" i="5"/>
  <c r="J72" i="5" a="1"/>
  <c r="J72" i="5" s="1"/>
  <c r="I72" i="5" a="1"/>
  <c r="I72" i="5"/>
  <c r="H72" i="5" a="1"/>
  <c r="H72" i="5" s="1"/>
  <c r="G72" i="5" a="1"/>
  <c r="G72" i="5"/>
  <c r="F72" i="5" a="1"/>
  <c r="F72" i="5" s="1"/>
  <c r="E72" i="5" a="1"/>
  <c r="E72" i="5"/>
  <c r="A72" i="5"/>
  <c r="J71" i="5" a="1"/>
  <c r="J71" i="5"/>
  <c r="I71" i="5" a="1"/>
  <c r="I71" i="5" s="1"/>
  <c r="H71" i="5" a="1"/>
  <c r="H71" i="5"/>
  <c r="G71" i="5" a="1"/>
  <c r="G71" i="5" s="1"/>
  <c r="F71" i="5" a="1"/>
  <c r="F71" i="5"/>
  <c r="E71" i="5" a="1"/>
  <c r="E71" i="5" s="1"/>
  <c r="A71" i="5"/>
  <c r="J70" i="5" a="1"/>
  <c r="J70" i="5"/>
  <c r="I70" i="5" a="1"/>
  <c r="I70" i="5" s="1"/>
  <c r="H70" i="5" a="1"/>
  <c r="H70" i="5"/>
  <c r="G70" i="5" a="1"/>
  <c r="G70" i="5" s="1"/>
  <c r="F70" i="5" a="1"/>
  <c r="F70" i="5"/>
  <c r="E70" i="5" a="1"/>
  <c r="E70" i="5" s="1"/>
  <c r="A70" i="5"/>
  <c r="J69" i="5" a="1"/>
  <c r="J69" i="5" s="1"/>
  <c r="I69" i="5" a="1"/>
  <c r="I69" i="5"/>
  <c r="H69" i="5" a="1"/>
  <c r="H69" i="5" s="1"/>
  <c r="G69" i="5" a="1"/>
  <c r="G69" i="5"/>
  <c r="F69" i="5" a="1"/>
  <c r="F69" i="5" s="1"/>
  <c r="E69" i="5" a="1"/>
  <c r="E69" i="5"/>
  <c r="A69" i="5"/>
  <c r="J68" i="5" a="1"/>
  <c r="J68" i="5" s="1"/>
  <c r="I68" i="5" a="1"/>
  <c r="I68" i="5"/>
  <c r="H68" i="5" a="1"/>
  <c r="H68" i="5" s="1"/>
  <c r="G68" i="5" a="1"/>
  <c r="G68" i="5"/>
  <c r="F68" i="5" a="1"/>
  <c r="F68" i="5" s="1"/>
  <c r="E68" i="5" a="1"/>
  <c r="E68" i="5"/>
  <c r="A68" i="5"/>
  <c r="J67" i="5" a="1"/>
  <c r="J67" i="5"/>
  <c r="I67" i="5" a="1"/>
  <c r="I67" i="5" s="1"/>
  <c r="H67" i="5" a="1"/>
  <c r="H67" i="5"/>
  <c r="G67" i="5" a="1"/>
  <c r="G67" i="5" s="1"/>
  <c r="F67" i="5" a="1"/>
  <c r="F67" i="5"/>
  <c r="E67" i="5" a="1"/>
  <c r="E67" i="5" s="1"/>
  <c r="A67" i="5"/>
  <c r="J66" i="5" a="1"/>
  <c r="J66" i="5"/>
  <c r="I66" i="5" a="1"/>
  <c r="I66" i="5" s="1"/>
  <c r="H66" i="5" a="1"/>
  <c r="H66" i="5"/>
  <c r="G66" i="5" a="1"/>
  <c r="G66" i="5" s="1"/>
  <c r="F66" i="5" a="1"/>
  <c r="F66" i="5"/>
  <c r="E66" i="5" a="1"/>
  <c r="E66" i="5" s="1"/>
  <c r="A66" i="5"/>
  <c r="J65" i="5" a="1"/>
  <c r="J65" i="5" s="1"/>
  <c r="I65" i="5" a="1"/>
  <c r="I65" i="5"/>
  <c r="H65" i="5" a="1"/>
  <c r="H65" i="5" s="1"/>
  <c r="G65" i="5" a="1"/>
  <c r="G65" i="5"/>
  <c r="F65" i="5" a="1"/>
  <c r="F65" i="5" s="1"/>
  <c r="E65" i="5" a="1"/>
  <c r="E65" i="5"/>
  <c r="A65" i="5"/>
  <c r="J64" i="5" a="1"/>
  <c r="J64" i="5" s="1"/>
  <c r="I64" i="5" a="1"/>
  <c r="I64" i="5"/>
  <c r="H64" i="5" a="1"/>
  <c r="H64" i="5" s="1"/>
  <c r="G64" i="5" a="1"/>
  <c r="G64" i="5"/>
  <c r="F64" i="5" a="1"/>
  <c r="F64" i="5" s="1"/>
  <c r="E64" i="5" a="1"/>
  <c r="E64" i="5"/>
  <c r="A64" i="5"/>
  <c r="J63" i="5" a="1"/>
  <c r="J63" i="5"/>
  <c r="I63" i="5" a="1"/>
  <c r="I63" i="5" s="1"/>
  <c r="H63" i="5" a="1"/>
  <c r="H63" i="5"/>
  <c r="G63" i="5" a="1"/>
  <c r="G63" i="5" s="1"/>
  <c r="F63" i="5" a="1"/>
  <c r="F63" i="5"/>
  <c r="E63" i="5" a="1"/>
  <c r="E63" i="5" s="1"/>
  <c r="A63" i="5"/>
  <c r="J62" i="5" a="1"/>
  <c r="J62" i="5"/>
  <c r="I62" i="5" a="1"/>
  <c r="I62" i="5" s="1"/>
  <c r="H62" i="5" a="1"/>
  <c r="H62" i="5"/>
  <c r="G62" i="5" a="1"/>
  <c r="G62" i="5" s="1"/>
  <c r="F62" i="5" a="1"/>
  <c r="F62" i="5"/>
  <c r="E62" i="5" a="1"/>
  <c r="E62" i="5" s="1"/>
  <c r="A62" i="5"/>
  <c r="J61" i="5" a="1"/>
  <c r="J61" i="5" s="1"/>
  <c r="I61" i="5" a="1"/>
  <c r="I61" i="5"/>
  <c r="H61" i="5" a="1"/>
  <c r="H61" i="5" s="1"/>
  <c r="G61" i="5" a="1"/>
  <c r="G61" i="5"/>
  <c r="F61" i="5" a="1"/>
  <c r="F61" i="5" s="1"/>
  <c r="E61" i="5" a="1"/>
  <c r="E61" i="5"/>
  <c r="A61" i="5"/>
  <c r="J60" i="5" a="1"/>
  <c r="J60" i="5" s="1"/>
  <c r="I60" i="5" a="1"/>
  <c r="I60" i="5"/>
  <c r="H60" i="5" a="1"/>
  <c r="H60" i="5" s="1"/>
  <c r="G60" i="5" a="1"/>
  <c r="G60" i="5"/>
  <c r="F60" i="5" a="1"/>
  <c r="F60" i="5" s="1"/>
  <c r="E60" i="5" a="1"/>
  <c r="E60" i="5"/>
  <c r="A60" i="5"/>
  <c r="J59" i="5" a="1"/>
  <c r="J59" i="5"/>
  <c r="I59" i="5" a="1"/>
  <c r="I59" i="5" s="1"/>
  <c r="H59" i="5" a="1"/>
  <c r="H59" i="5"/>
  <c r="G59" i="5" a="1"/>
  <c r="G59" i="5" s="1"/>
  <c r="F59" i="5" a="1"/>
  <c r="F59" i="5"/>
  <c r="E59" i="5" a="1"/>
  <c r="E59" i="5" s="1"/>
  <c r="A59" i="5"/>
  <c r="J58" i="5" a="1"/>
  <c r="J58" i="5"/>
  <c r="I58" i="5" a="1"/>
  <c r="I58" i="5" s="1"/>
  <c r="H58" i="5" a="1"/>
  <c r="H58" i="5"/>
  <c r="G58" i="5" a="1"/>
  <c r="G58" i="5" s="1"/>
  <c r="F58" i="5" a="1"/>
  <c r="F58" i="5"/>
  <c r="E58" i="5" a="1"/>
  <c r="E58" i="5" s="1"/>
  <c r="A58" i="5"/>
  <c r="J57" i="5" a="1"/>
  <c r="J57" i="5" s="1"/>
  <c r="I57" i="5" a="1"/>
  <c r="I57" i="5"/>
  <c r="H57" i="5" a="1"/>
  <c r="H57" i="5" s="1"/>
  <c r="G57" i="5" a="1"/>
  <c r="G57" i="5"/>
  <c r="F57" i="5" a="1"/>
  <c r="F57" i="5" s="1"/>
  <c r="E57" i="5" a="1"/>
  <c r="E57" i="5"/>
  <c r="A57" i="5"/>
  <c r="J56" i="5" a="1"/>
  <c r="J56" i="5" s="1"/>
  <c r="I56" i="5" a="1"/>
  <c r="I56" i="5"/>
  <c r="H56" i="5" a="1"/>
  <c r="H56" i="5" s="1"/>
  <c r="G56" i="5" a="1"/>
  <c r="G56" i="5"/>
  <c r="F56" i="5" a="1"/>
  <c r="F56" i="5" s="1"/>
  <c r="E56" i="5" a="1"/>
  <c r="E56" i="5"/>
  <c r="A56" i="5"/>
  <c r="J55" i="5" a="1"/>
  <c r="J55" i="5"/>
  <c r="I55" i="5" a="1"/>
  <c r="I55" i="5" s="1"/>
  <c r="H55" i="5" a="1"/>
  <c r="H55" i="5"/>
  <c r="G55" i="5" a="1"/>
  <c r="G55" i="5" s="1"/>
  <c r="F55" i="5" a="1"/>
  <c r="F55" i="5"/>
  <c r="E55" i="5" a="1"/>
  <c r="E55" i="5" s="1"/>
  <c r="A55" i="5"/>
  <c r="J54" i="5" a="1"/>
  <c r="J54" i="5"/>
  <c r="I54" i="5" a="1"/>
  <c r="I54" i="5" s="1"/>
  <c r="H54" i="5" a="1"/>
  <c r="H54" i="5"/>
  <c r="G54" i="5" a="1"/>
  <c r="G54" i="5" s="1"/>
  <c r="F54" i="5" a="1"/>
  <c r="F54" i="5"/>
  <c r="E54" i="5" a="1"/>
  <c r="E54" i="5" s="1"/>
  <c r="A54" i="5"/>
  <c r="J53" i="5" a="1"/>
  <c r="J53" i="5" s="1"/>
  <c r="I53" i="5" a="1"/>
  <c r="I53" i="5"/>
  <c r="H53" i="5" a="1"/>
  <c r="H53" i="5" s="1"/>
  <c r="G53" i="5" a="1"/>
  <c r="G53" i="5"/>
  <c r="F53" i="5" a="1"/>
  <c r="F53" i="5" s="1"/>
  <c r="E53" i="5" a="1"/>
  <c r="E53" i="5"/>
  <c r="A53" i="5"/>
  <c r="J52" i="5" a="1"/>
  <c r="J52" i="5" s="1"/>
  <c r="I52" i="5" a="1"/>
  <c r="I52" i="5"/>
  <c r="H52" i="5" a="1"/>
  <c r="H52" i="5" s="1"/>
  <c r="G52" i="5" a="1"/>
  <c r="G52" i="5"/>
  <c r="F52" i="5" a="1"/>
  <c r="F52" i="5" s="1"/>
  <c r="E52" i="5" a="1"/>
  <c r="E52" i="5"/>
  <c r="A52" i="5"/>
  <c r="J51" i="5" a="1"/>
  <c r="J51" i="5"/>
  <c r="I51" i="5" a="1"/>
  <c r="I51" i="5" s="1"/>
  <c r="H51" i="5" a="1"/>
  <c r="H51" i="5"/>
  <c r="G51" i="5" a="1"/>
  <c r="G51" i="5" s="1"/>
  <c r="F51" i="5" a="1"/>
  <c r="F51" i="5"/>
  <c r="E51" i="5" a="1"/>
  <c r="E51" i="5" s="1"/>
  <c r="A51" i="5"/>
  <c r="J50" i="5" a="1"/>
  <c r="J50" i="5"/>
  <c r="I50" i="5" a="1"/>
  <c r="I50" i="5" s="1"/>
  <c r="H50" i="5" a="1"/>
  <c r="H50" i="5"/>
  <c r="G50" i="5" a="1"/>
  <c r="G50" i="5" s="1"/>
  <c r="F50" i="5" a="1"/>
  <c r="F50" i="5"/>
  <c r="E50" i="5" a="1"/>
  <c r="E50" i="5" s="1"/>
  <c r="A50" i="5"/>
  <c r="J49" i="5" a="1"/>
  <c r="J49" i="5" s="1"/>
  <c r="I49" i="5" a="1"/>
  <c r="I49" i="5"/>
  <c r="H49" i="5" a="1"/>
  <c r="H49" i="5" s="1"/>
  <c r="G49" i="5" a="1"/>
  <c r="G49" i="5"/>
  <c r="F49" i="5" a="1"/>
  <c r="F49" i="5" s="1"/>
  <c r="E49" i="5" a="1"/>
  <c r="E49" i="5"/>
  <c r="A49" i="5"/>
  <c r="J48" i="5" a="1"/>
  <c r="J48" i="5" s="1"/>
  <c r="I48" i="5" a="1"/>
  <c r="I48" i="5"/>
  <c r="H48" i="5" a="1"/>
  <c r="H48" i="5" s="1"/>
  <c r="G48" i="5" a="1"/>
  <c r="G48" i="5"/>
  <c r="F48" i="5" a="1"/>
  <c r="F48" i="5" s="1"/>
  <c r="E48" i="5" a="1"/>
  <c r="E48" i="5"/>
  <c r="A48" i="5"/>
  <c r="J47" i="5" a="1"/>
  <c r="J47" i="5"/>
  <c r="I47" i="5" a="1"/>
  <c r="I47" i="5" s="1"/>
  <c r="H47" i="5" a="1"/>
  <c r="H47" i="5"/>
  <c r="G47" i="5" a="1"/>
  <c r="G47" i="5" s="1"/>
  <c r="F47" i="5" a="1"/>
  <c r="F47" i="5"/>
  <c r="E47" i="5" a="1"/>
  <c r="E47" i="5" s="1"/>
  <c r="A47" i="5"/>
  <c r="J46" i="5" a="1"/>
  <c r="J46" i="5"/>
  <c r="I46" i="5" a="1"/>
  <c r="I46" i="5" s="1"/>
  <c r="H46" i="5" a="1"/>
  <c r="H46" i="5"/>
  <c r="G46" i="5" a="1"/>
  <c r="G46" i="5" s="1"/>
  <c r="F46" i="5" a="1"/>
  <c r="F46" i="5"/>
  <c r="E46" i="5" a="1"/>
  <c r="E46" i="5" s="1"/>
  <c r="A46" i="5"/>
  <c r="J45" i="5" a="1"/>
  <c r="J45" i="5" s="1"/>
  <c r="I45" i="5" a="1"/>
  <c r="I45" i="5"/>
  <c r="H45" i="5" a="1"/>
  <c r="H45" i="5" s="1"/>
  <c r="G45" i="5" a="1"/>
  <c r="G45" i="5"/>
  <c r="F45" i="5" a="1"/>
  <c r="F45" i="5" s="1"/>
  <c r="E45" i="5" a="1"/>
  <c r="E45" i="5"/>
  <c r="A45" i="5"/>
  <c r="J44" i="5" a="1"/>
  <c r="J44" i="5" s="1"/>
  <c r="I44" i="5" a="1"/>
  <c r="I44" i="5"/>
  <c r="H44" i="5" a="1"/>
  <c r="H44" i="5" s="1"/>
  <c r="G44" i="5" a="1"/>
  <c r="G44" i="5"/>
  <c r="F44" i="5" a="1"/>
  <c r="F44" i="5" s="1"/>
  <c r="E44" i="5" a="1"/>
  <c r="E44" i="5"/>
  <c r="A44" i="5"/>
  <c r="J43" i="5" a="1"/>
  <c r="J43" i="5"/>
  <c r="I43" i="5" a="1"/>
  <c r="I43" i="5" s="1"/>
  <c r="H43" i="5" a="1"/>
  <c r="H43" i="5"/>
  <c r="G43" i="5" a="1"/>
  <c r="G43" i="5" s="1"/>
  <c r="F43" i="5" a="1"/>
  <c r="F43" i="5"/>
  <c r="E43" i="5" a="1"/>
  <c r="E43" i="5" s="1"/>
  <c r="A43" i="5"/>
  <c r="J42" i="5" a="1"/>
  <c r="J42" i="5"/>
  <c r="I42" i="5" a="1"/>
  <c r="I42" i="5" s="1"/>
  <c r="H42" i="5" a="1"/>
  <c r="H42" i="5"/>
  <c r="G42" i="5" a="1"/>
  <c r="G42" i="5" s="1"/>
  <c r="F42" i="5" a="1"/>
  <c r="F42" i="5"/>
  <c r="E42" i="5" a="1"/>
  <c r="E42" i="5" s="1"/>
  <c r="A42" i="5"/>
  <c r="J41" i="5" a="1"/>
  <c r="J41" i="5" s="1"/>
  <c r="I41" i="5" a="1"/>
  <c r="I41" i="5"/>
  <c r="H41" i="5" a="1"/>
  <c r="H41" i="5" s="1"/>
  <c r="G41" i="5" a="1"/>
  <c r="G41" i="5"/>
  <c r="F41" i="5" a="1"/>
  <c r="F41" i="5" s="1"/>
  <c r="E41" i="5" a="1"/>
  <c r="E41" i="5"/>
  <c r="A41" i="5"/>
  <c r="J40" i="5" a="1"/>
  <c r="J40" i="5" s="1"/>
  <c r="I40" i="5" a="1"/>
  <c r="I40" i="5"/>
  <c r="H40" i="5" a="1"/>
  <c r="H40" i="5" s="1"/>
  <c r="G40" i="5" a="1"/>
  <c r="G40" i="5"/>
  <c r="F40" i="5" a="1"/>
  <c r="F40" i="5" s="1"/>
  <c r="E40" i="5" a="1"/>
  <c r="E40" i="5"/>
  <c r="A40" i="5"/>
  <c r="J39" i="5" a="1"/>
  <c r="J39" i="5"/>
  <c r="I39" i="5" a="1"/>
  <c r="I39" i="5" s="1"/>
  <c r="H39" i="5" a="1"/>
  <c r="H39" i="5"/>
  <c r="G39" i="5" a="1"/>
  <c r="G39" i="5" s="1"/>
  <c r="F39" i="5" a="1"/>
  <c r="F39" i="5"/>
  <c r="E39" i="5" a="1"/>
  <c r="E39" i="5" s="1"/>
  <c r="A39" i="5"/>
  <c r="J38" i="5" a="1"/>
  <c r="J38" i="5"/>
  <c r="I38" i="5" a="1"/>
  <c r="I38" i="5" s="1"/>
  <c r="H38" i="5" a="1"/>
  <c r="H38" i="5"/>
  <c r="G38" i="5" a="1"/>
  <c r="G38" i="5" s="1"/>
  <c r="F38" i="5" a="1"/>
  <c r="F38" i="5"/>
  <c r="E38" i="5" a="1"/>
  <c r="E38" i="5" s="1"/>
  <c r="A38" i="5"/>
  <c r="J37" i="5" a="1"/>
  <c r="J37" i="5" s="1"/>
  <c r="I37" i="5" a="1"/>
  <c r="I37" i="5"/>
  <c r="H37" i="5" a="1"/>
  <c r="H37" i="5" s="1"/>
  <c r="G37" i="5" a="1"/>
  <c r="G37" i="5"/>
  <c r="F37" i="5" a="1"/>
  <c r="F37" i="5" s="1"/>
  <c r="E37" i="5" a="1"/>
  <c r="E37" i="5"/>
  <c r="A37" i="5"/>
  <c r="J36" i="5" a="1"/>
  <c r="J36" i="5" s="1"/>
  <c r="I36" i="5" a="1"/>
  <c r="I36" i="5"/>
  <c r="H36" i="5" a="1"/>
  <c r="H36" i="5" s="1"/>
  <c r="G36" i="5" a="1"/>
  <c r="G36" i="5"/>
  <c r="F36" i="5" a="1"/>
  <c r="F36" i="5" s="1"/>
  <c r="E36" i="5" a="1"/>
  <c r="E36" i="5"/>
  <c r="A36" i="5"/>
  <c r="J35" i="5" a="1"/>
  <c r="J35" i="5"/>
  <c r="I35" i="5" a="1"/>
  <c r="I35" i="5" s="1"/>
  <c r="H35" i="5" a="1"/>
  <c r="H35" i="5"/>
  <c r="G35" i="5" a="1"/>
  <c r="G35" i="5" s="1"/>
  <c r="F35" i="5" a="1"/>
  <c r="F35" i="5"/>
  <c r="E35" i="5" a="1"/>
  <c r="E35" i="5" s="1"/>
  <c r="A35" i="5"/>
  <c r="J34" i="5" a="1"/>
  <c r="J34" i="5"/>
  <c r="I34" i="5" a="1"/>
  <c r="I34" i="5" s="1"/>
  <c r="H34" i="5" a="1"/>
  <c r="H34" i="5"/>
  <c r="G34" i="5" a="1"/>
  <c r="G34" i="5" s="1"/>
  <c r="F34" i="5" a="1"/>
  <c r="F34" i="5"/>
  <c r="E34" i="5" a="1"/>
  <c r="E34" i="5" s="1"/>
  <c r="A34" i="5"/>
  <c r="J33" i="5" a="1"/>
  <c r="J33" i="5" s="1"/>
  <c r="I33" i="5" a="1"/>
  <c r="I33" i="5"/>
  <c r="H33" i="5" a="1"/>
  <c r="H33" i="5" s="1"/>
  <c r="G33" i="5" a="1"/>
  <c r="G33" i="5"/>
  <c r="F33" i="5" a="1"/>
  <c r="F33" i="5" s="1"/>
  <c r="E33" i="5" a="1"/>
  <c r="E33" i="5"/>
  <c r="A33" i="5"/>
  <c r="J32" i="5" a="1"/>
  <c r="J32" i="5" s="1"/>
  <c r="I32" i="5" a="1"/>
  <c r="I32" i="5"/>
  <c r="H32" i="5" a="1"/>
  <c r="H32" i="5" s="1"/>
  <c r="G32" i="5" a="1"/>
  <c r="G32" i="5"/>
  <c r="F32" i="5" a="1"/>
  <c r="F32" i="5" s="1"/>
  <c r="E32" i="5" a="1"/>
  <c r="E32" i="5"/>
  <c r="A32" i="5"/>
  <c r="J31" i="5" a="1"/>
  <c r="J31" i="5"/>
  <c r="I31" i="5" a="1"/>
  <c r="I31" i="5" s="1"/>
  <c r="H31" i="5" a="1"/>
  <c r="H31" i="5"/>
  <c r="G31" i="5" a="1"/>
  <c r="G31" i="5" s="1"/>
  <c r="F31" i="5" a="1"/>
  <c r="F31" i="5"/>
  <c r="E31" i="5" a="1"/>
  <c r="E31" i="5" s="1"/>
  <c r="A31" i="5"/>
  <c r="J30" i="5" a="1"/>
  <c r="J30" i="5"/>
  <c r="I30" i="5" a="1"/>
  <c r="I30" i="5" s="1"/>
  <c r="H30" i="5" a="1"/>
  <c r="H30" i="5"/>
  <c r="G30" i="5" a="1"/>
  <c r="G30" i="5" s="1"/>
  <c r="F30" i="5" a="1"/>
  <c r="F30" i="5"/>
  <c r="E30" i="5" a="1"/>
  <c r="E30" i="5" s="1"/>
  <c r="A30" i="5"/>
  <c r="J29" i="5" a="1"/>
  <c r="J29" i="5" s="1"/>
  <c r="I29" i="5" a="1"/>
  <c r="I29" i="5"/>
  <c r="H29" i="5" a="1"/>
  <c r="H29" i="5" s="1"/>
  <c r="G29" i="5" a="1"/>
  <c r="G29" i="5"/>
  <c r="F29" i="5" a="1"/>
  <c r="F29" i="5" s="1"/>
  <c r="E29" i="5" a="1"/>
  <c r="E29" i="5"/>
  <c r="A29" i="5"/>
  <c r="J28" i="5" a="1"/>
  <c r="J28" i="5" s="1"/>
  <c r="I28" i="5" a="1"/>
  <c r="I28" i="5"/>
  <c r="H28" i="5" a="1"/>
  <c r="H28" i="5" s="1"/>
  <c r="G28" i="5" a="1"/>
  <c r="G28" i="5"/>
  <c r="F28" i="5" a="1"/>
  <c r="F28" i="5" s="1"/>
  <c r="E28" i="5" a="1"/>
  <c r="E28" i="5"/>
  <c r="A28" i="5"/>
  <c r="J27" i="5" a="1"/>
  <c r="J27" i="5"/>
  <c r="I27" i="5" a="1"/>
  <c r="I27" i="5" s="1"/>
  <c r="H27" i="5" a="1"/>
  <c r="H27" i="5"/>
  <c r="G27" i="5" a="1"/>
  <c r="G27" i="5" s="1"/>
  <c r="F27" i="5" a="1"/>
  <c r="F27" i="5"/>
  <c r="E27" i="5" a="1"/>
  <c r="E27" i="5" s="1"/>
  <c r="A27" i="5"/>
  <c r="J26" i="5" a="1"/>
  <c r="J26" i="5"/>
  <c r="I26" i="5" a="1"/>
  <c r="I26" i="5" s="1"/>
  <c r="H26" i="5" a="1"/>
  <c r="H26" i="5"/>
  <c r="G26" i="5" a="1"/>
  <c r="G26" i="5" s="1"/>
  <c r="F26" i="5" a="1"/>
  <c r="F26" i="5"/>
  <c r="E26" i="5" a="1"/>
  <c r="E26" i="5" s="1"/>
  <c r="A26" i="5"/>
  <c r="J25" i="5" a="1"/>
  <c r="J25" i="5" s="1"/>
  <c r="I25" i="5" a="1"/>
  <c r="I25" i="5"/>
  <c r="H25" i="5" a="1"/>
  <c r="H25" i="5" s="1"/>
  <c r="G25" i="5" a="1"/>
  <c r="G25" i="5"/>
  <c r="F25" i="5" a="1"/>
  <c r="F25" i="5" s="1"/>
  <c r="E25" i="5" a="1"/>
  <c r="E25" i="5"/>
  <c r="A25" i="5"/>
  <c r="J24" i="5" a="1"/>
  <c r="J24" i="5" s="1"/>
  <c r="I24" i="5" a="1"/>
  <c r="I24" i="5"/>
  <c r="H24" i="5" a="1"/>
  <c r="H24" i="5" s="1"/>
  <c r="G24" i="5" a="1"/>
  <c r="G24" i="5"/>
  <c r="F24" i="5" a="1"/>
  <c r="F24" i="5" s="1"/>
  <c r="E24" i="5" a="1"/>
  <c r="E24" i="5"/>
  <c r="A24" i="5"/>
  <c r="J23" i="5" a="1"/>
  <c r="J23" i="5"/>
  <c r="I23" i="5" a="1"/>
  <c r="I23" i="5" s="1"/>
  <c r="H23" i="5" a="1"/>
  <c r="H23" i="5"/>
  <c r="G23" i="5" a="1"/>
  <c r="G23" i="5" s="1"/>
  <c r="F23" i="5" a="1"/>
  <c r="F23" i="5"/>
  <c r="E23" i="5" a="1"/>
  <c r="E23" i="5" s="1"/>
  <c r="A23" i="5"/>
  <c r="J22" i="5" a="1"/>
  <c r="J22" i="5"/>
  <c r="I22" i="5" a="1"/>
  <c r="I22" i="5" s="1"/>
  <c r="H22" i="5" a="1"/>
  <c r="H22" i="5"/>
  <c r="G22" i="5" a="1"/>
  <c r="G22" i="5" s="1"/>
  <c r="F22" i="5" a="1"/>
  <c r="F22" i="5"/>
  <c r="E22" i="5" a="1"/>
  <c r="E22" i="5" s="1"/>
  <c r="A22" i="5"/>
  <c r="J21" i="5" a="1"/>
  <c r="J21" i="5" s="1"/>
  <c r="I21" i="5" a="1"/>
  <c r="I21" i="5"/>
  <c r="H21" i="5" a="1"/>
  <c r="H21" i="5" s="1"/>
  <c r="G21" i="5" a="1"/>
  <c r="G21" i="5"/>
  <c r="F21" i="5" a="1"/>
  <c r="F21" i="5" s="1"/>
  <c r="E21" i="5" a="1"/>
  <c r="E21" i="5"/>
  <c r="A21" i="5"/>
  <c r="J20" i="5" a="1"/>
  <c r="J20" i="5" s="1"/>
  <c r="I20" i="5" a="1"/>
  <c r="I20" i="5"/>
  <c r="H20" i="5" a="1"/>
  <c r="H20" i="5" s="1"/>
  <c r="G20" i="5" a="1"/>
  <c r="G20" i="5"/>
  <c r="F20" i="5" a="1"/>
  <c r="F20" i="5" s="1"/>
  <c r="E20" i="5" a="1"/>
  <c r="E20" i="5"/>
  <c r="A20" i="5"/>
  <c r="J19" i="5" a="1"/>
  <c r="J19" i="5"/>
  <c r="I19" i="5" a="1"/>
  <c r="I19" i="5" s="1"/>
  <c r="H19" i="5" a="1"/>
  <c r="H19" i="5"/>
  <c r="G19" i="5" a="1"/>
  <c r="G19" i="5" s="1"/>
  <c r="F19" i="5" a="1"/>
  <c r="F19" i="5"/>
  <c r="E19" i="5" a="1"/>
  <c r="E19" i="5" s="1"/>
  <c r="A19" i="5"/>
  <c r="J18" i="5" a="1"/>
  <c r="J18" i="5"/>
  <c r="I18" i="5" a="1"/>
  <c r="I18" i="5" s="1"/>
  <c r="H18" i="5" a="1"/>
  <c r="H18" i="5"/>
  <c r="G18" i="5" a="1"/>
  <c r="G18" i="5" s="1"/>
  <c r="F18" i="5" a="1"/>
  <c r="F18" i="5"/>
  <c r="E18" i="5" a="1"/>
  <c r="E18" i="5" s="1"/>
  <c r="A18" i="5"/>
  <c r="J17" i="5" a="1"/>
  <c r="J17" i="5" s="1"/>
  <c r="I17" i="5" a="1"/>
  <c r="I17" i="5"/>
  <c r="H17" i="5" a="1"/>
  <c r="H17" i="5" s="1"/>
  <c r="G17" i="5" a="1"/>
  <c r="G17" i="5"/>
  <c r="F17" i="5" a="1"/>
  <c r="F17" i="5" s="1"/>
  <c r="E17" i="5" a="1"/>
  <c r="E17" i="5"/>
  <c r="A17" i="5"/>
  <c r="J16" i="5" a="1"/>
  <c r="J16" i="5" s="1"/>
  <c r="I16" i="5" a="1"/>
  <c r="I16" i="5"/>
  <c r="H16" i="5" a="1"/>
  <c r="H16" i="5" s="1"/>
  <c r="G16" i="5" a="1"/>
  <c r="G16" i="5"/>
  <c r="F16" i="5" a="1"/>
  <c r="F16" i="5" s="1"/>
  <c r="E16" i="5" a="1"/>
  <c r="E16" i="5"/>
  <c r="A16" i="5"/>
  <c r="J15" i="5" a="1"/>
  <c r="J15" i="5"/>
  <c r="I15" i="5" a="1"/>
  <c r="I15" i="5" s="1"/>
  <c r="H15" i="5" a="1"/>
  <c r="H15" i="5"/>
  <c r="G15" i="5" a="1"/>
  <c r="G15" i="5" s="1"/>
  <c r="F15" i="5" a="1"/>
  <c r="F15" i="5"/>
  <c r="E15" i="5" a="1"/>
  <c r="E15" i="5" s="1"/>
  <c r="A15" i="5"/>
  <c r="J14" i="5" a="1"/>
  <c r="J14" i="5"/>
  <c r="I14" i="5" a="1"/>
  <c r="I14" i="5" s="1"/>
  <c r="H14" i="5" a="1"/>
  <c r="H14" i="5"/>
  <c r="G14" i="5" a="1"/>
  <c r="G14" i="5" s="1"/>
  <c r="F14" i="5" a="1"/>
  <c r="F14" i="5"/>
  <c r="E14" i="5" a="1"/>
  <c r="E14" i="5" s="1"/>
  <c r="A14" i="5"/>
  <c r="J13" i="5" a="1"/>
  <c r="J13" i="5" s="1"/>
  <c r="I13" i="5" a="1"/>
  <c r="I13" i="5"/>
  <c r="H13" i="5" a="1"/>
  <c r="H13" i="5" s="1"/>
  <c r="G13" i="5" a="1"/>
  <c r="G13" i="5"/>
  <c r="F13" i="5" a="1"/>
  <c r="F13" i="5" s="1"/>
  <c r="E13" i="5" a="1"/>
  <c r="E13" i="5"/>
  <c r="A13" i="5"/>
  <c r="J12" i="5" a="1"/>
  <c r="J12" i="5" s="1"/>
  <c r="I12" i="5" a="1"/>
  <c r="I12" i="5"/>
  <c r="H12" i="5" a="1"/>
  <c r="H12" i="5" s="1"/>
  <c r="G12" i="5" a="1"/>
  <c r="G12" i="5"/>
  <c r="F12" i="5" a="1"/>
  <c r="F12" i="5" s="1"/>
  <c r="E12" i="5" a="1"/>
  <c r="E12" i="5"/>
  <c r="A12" i="5"/>
  <c r="J11" i="5" a="1"/>
  <c r="J11" i="5"/>
  <c r="I11" i="5" a="1"/>
  <c r="I11" i="5" s="1"/>
  <c r="H11" i="5" a="1"/>
  <c r="H11" i="5"/>
  <c r="G11" i="5" a="1"/>
  <c r="G11" i="5" s="1"/>
  <c r="F11" i="5" a="1"/>
  <c r="F11" i="5"/>
  <c r="E11" i="5" a="1"/>
  <c r="E11" i="5" s="1"/>
  <c r="A11" i="5"/>
  <c r="J10" i="5" a="1"/>
  <c r="J10" i="5"/>
  <c r="I10" i="5" a="1"/>
  <c r="I10" i="5" s="1"/>
  <c r="H10" i="5" a="1"/>
  <c r="H10" i="5"/>
  <c r="G10" i="5" a="1"/>
  <c r="G10" i="5" s="1"/>
  <c r="F10" i="5" a="1"/>
  <c r="F10" i="5"/>
  <c r="E10" i="5" a="1"/>
  <c r="E10" i="5" s="1"/>
  <c r="A10" i="5"/>
  <c r="J9" i="5" a="1"/>
  <c r="J9" i="5" s="1"/>
  <c r="I9" i="5" a="1"/>
  <c r="I9" i="5"/>
  <c r="H9" i="5" a="1"/>
  <c r="H9" i="5" s="1"/>
  <c r="G9" i="5" a="1"/>
  <c r="G9" i="5"/>
  <c r="F9" i="5" a="1"/>
  <c r="F9" i="5" s="1"/>
  <c r="E9" i="5" a="1"/>
  <c r="E9" i="5"/>
  <c r="A9" i="5"/>
  <c r="J8" i="5" a="1"/>
  <c r="J8" i="5" s="1"/>
  <c r="I8" i="5" a="1"/>
  <c r="I8" i="5"/>
  <c r="H8" i="5" a="1"/>
  <c r="H8" i="5" s="1"/>
  <c r="G8" i="5" a="1"/>
  <c r="G8" i="5"/>
  <c r="F8" i="5" a="1"/>
  <c r="F8" i="5" s="1"/>
  <c r="E8" i="5" a="1"/>
  <c r="E8" i="5"/>
  <c r="A8" i="5"/>
  <c r="J7" i="5" a="1"/>
  <c r="J7" i="5"/>
  <c r="I7" i="5" a="1"/>
  <c r="I7" i="5" s="1"/>
  <c r="H7" i="5" a="1"/>
  <c r="H7" i="5"/>
  <c r="G7" i="5" a="1"/>
  <c r="G7" i="5" s="1"/>
  <c r="F7" i="5" a="1"/>
  <c r="F7" i="5"/>
  <c r="E7" i="5" a="1"/>
  <c r="E7" i="5" s="1"/>
  <c r="A7" i="5"/>
  <c r="J6" i="5" a="1"/>
  <c r="J6" i="5"/>
  <c r="I6" i="5" a="1"/>
  <c r="I6" i="5" s="1"/>
  <c r="H6" i="5" a="1"/>
  <c r="H6" i="5"/>
  <c r="G6" i="5" a="1"/>
  <c r="G6" i="5" s="1"/>
  <c r="F6" i="5" a="1"/>
  <c r="F6" i="5"/>
  <c r="E6" i="5" a="1"/>
  <c r="E6" i="5" s="1"/>
  <c r="A6" i="5"/>
  <c r="J5" i="5" a="1"/>
  <c r="J5" i="5" s="1"/>
  <c r="I5" i="5" a="1"/>
  <c r="I5" i="5"/>
  <c r="H5" i="5" a="1"/>
  <c r="H5" i="5" s="1"/>
  <c r="G5" i="5" a="1"/>
  <c r="G5" i="5"/>
  <c r="F5" i="5" a="1"/>
  <c r="F5" i="5" s="1"/>
  <c r="E5" i="5" a="1"/>
  <c r="E5" i="5"/>
  <c r="A5" i="5"/>
  <c r="B12" i="4" a="1"/>
  <c r="B12" i="4" s="1"/>
  <c r="B11" i="4" a="1"/>
  <c r="B11" i="4" s="1"/>
  <c r="B9" i="4" a="1"/>
  <c r="B9" i="4" s="1"/>
  <c r="B8" i="4" a="1"/>
  <c r="B8" i="4" s="1"/>
  <c r="B7" i="4" a="1"/>
  <c r="B7" i="4" s="1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H4" i="5" s="1" a="1"/>
  <c r="H4" i="5" s="1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H5" i="7" l="1"/>
  <c r="B10" i="4" a="1"/>
  <c r="B10" i="4" s="1"/>
  <c r="B12" i="7"/>
  <c r="B10" i="7"/>
  <c r="B8" i="7"/>
  <c r="B5" i="7"/>
  <c r="B14" i="7"/>
  <c r="B6" i="7"/>
  <c r="B13" i="7"/>
  <c r="B11" i="7"/>
  <c r="B9" i="7"/>
  <c r="B7" i="7"/>
  <c r="B27" i="8" a="1"/>
  <c r="B27" i="8" s="1"/>
  <c r="B24" i="8" a="1"/>
  <c r="B24" i="8" s="1"/>
  <c r="B21" i="8" a="1"/>
  <c r="B21" i="8" s="1"/>
  <c r="B18" i="8" a="1"/>
  <c r="B18" i="8" s="1"/>
  <c r="B15" i="8" a="1"/>
  <c r="B15" i="8" s="1"/>
  <c r="B12" i="8" a="1"/>
  <c r="B12" i="8" s="1"/>
  <c r="B10" i="8" a="1"/>
  <c r="B10" i="8" s="1"/>
  <c r="B8" i="8" a="1"/>
  <c r="B8" i="8" s="1"/>
  <c r="E5" i="8" a="1"/>
  <c r="E5" i="8" s="1"/>
  <c r="E4" i="8" a="1"/>
  <c r="E4" i="8" s="1"/>
  <c r="B26" i="8" a="1"/>
  <c r="B26" i="8" s="1"/>
  <c r="B23" i="8" a="1"/>
  <c r="B23" i="8" s="1"/>
  <c r="B20" i="8" a="1"/>
  <c r="B20" i="8" s="1"/>
  <c r="B17" i="8" a="1"/>
  <c r="B17" i="8" s="1"/>
  <c r="B14" i="8" a="1"/>
  <c r="B14" i="8" s="1"/>
  <c r="B11" i="8" a="1"/>
  <c r="B11" i="8" s="1"/>
  <c r="B9" i="8" a="1"/>
  <c r="B9" i="8" s="1"/>
  <c r="B7" i="8" a="1"/>
  <c r="B7" i="8" s="1"/>
  <c r="B5" i="8" a="1"/>
  <c r="B5" i="8" s="1"/>
  <c r="B7" i="6"/>
  <c r="H4" i="7" l="1"/>
</calcChain>
</file>

<file path=xl/sharedStrings.xml><?xml version="1.0" encoding="utf-8"?>
<sst xmlns="http://schemas.openxmlformats.org/spreadsheetml/2006/main" count="1983" uniqueCount="1356">
  <si>
    <t>Versión 3 · Base de datos y accidentes escolares</t>
  </si>
  <si>
    <t>1) Completa la hoja 'Base_Estudiantes' con los datos de los estudiantes.</t>
  </si>
  <si>
    <t>2) La edad se calcula automáticamente desde la fecha de nacimiento.</t>
  </si>
  <si>
    <t>3) En 'Formulario', busca por RUT y completa el accidente.</t>
  </si>
  <si>
    <t>4) En 'Registro_Accidentes', al ingresar el RUT se completan solo los datos del alumno.</t>
  </si>
  <si>
    <t>5) La hoja 'Estadísticas' resume accidentes por curso y por tipo de lesión.</t>
  </si>
  <si>
    <t>6) En 'Ficha_Imprimible', escribe el N° de registro para imprimir la ficha individual.</t>
  </si>
  <si>
    <t>Base de datos de estudiantes</t>
  </si>
  <si>
    <t>ID Alumno</t>
  </si>
  <si>
    <t>Nombre completo</t>
  </si>
  <si>
    <t>RUT</t>
  </si>
  <si>
    <t>Curso / Nivel</t>
  </si>
  <si>
    <t>Fecha de nacimiento</t>
  </si>
  <si>
    <t>Edad</t>
  </si>
  <si>
    <t>Apoderado</t>
  </si>
  <si>
    <t>Teléfono</t>
  </si>
  <si>
    <t>Alergias / salud</t>
  </si>
  <si>
    <t>Observaciones</t>
  </si>
  <si>
    <t>PRE1</t>
  </si>
  <si>
    <t>Razan Almilhem Eldaas</t>
  </si>
  <si>
    <t>27540951-0</t>
  </si>
  <si>
    <t>Pre-Kinder</t>
  </si>
  <si>
    <t>Sali A.M Eldaas</t>
  </si>
  <si>
    <t>N/A</t>
  </si>
  <si>
    <t>Pedro Riveros 1583, Ed Algarrobo, Depto 106</t>
  </si>
  <si>
    <t>PRE2</t>
  </si>
  <si>
    <t>Ignacio Aravena Parra</t>
  </si>
  <si>
    <t>27.689.328-9</t>
  </si>
  <si>
    <t>Constanza Parra</t>
  </si>
  <si>
    <t>Calle uno, Block 7, Depto 22</t>
  </si>
  <si>
    <t>PRE3</t>
  </si>
  <si>
    <t>Luciana Arias Vargas</t>
  </si>
  <si>
    <t>27555765-k</t>
  </si>
  <si>
    <t xml:space="preserve">Gina Pilar Vargas </t>
  </si>
  <si>
    <t>Calle uno, Block 9, Depto 17</t>
  </si>
  <si>
    <t>PRE4</t>
  </si>
  <si>
    <t xml:space="preserve">Julieta Briceño Barrios </t>
  </si>
  <si>
    <t>100838835-7</t>
  </si>
  <si>
    <t xml:space="preserve">Jenifer Barrios </t>
  </si>
  <si>
    <t>Pedro Riveros 1583, Ed Araucario, Depto 413</t>
  </si>
  <si>
    <t>PRE5</t>
  </si>
  <si>
    <t>Versiliano Camus Verdeus</t>
  </si>
  <si>
    <t>27733262-0</t>
  </si>
  <si>
    <t>Verlande Verdeus</t>
  </si>
  <si>
    <t>Pedro Riveros , Block 12, Depto 34</t>
  </si>
  <si>
    <t>PRE6</t>
  </si>
  <si>
    <t>Ketchaida Delis Aurelien</t>
  </si>
  <si>
    <t>27635066-8</t>
  </si>
  <si>
    <t>Emilia Aurelien</t>
  </si>
  <si>
    <t>Las Violetas 260, Depto 32</t>
  </si>
  <si>
    <t>PRE7</t>
  </si>
  <si>
    <t>Shamaina Duclaire Michel</t>
  </si>
  <si>
    <t>27704710-1</t>
  </si>
  <si>
    <t>Guerline Michel</t>
  </si>
  <si>
    <t>Pedro Riveros 1583, Ed Alama, Depto 310</t>
  </si>
  <si>
    <t>PRE8</t>
  </si>
  <si>
    <t>Bruno Espinoza Alvarez</t>
  </si>
  <si>
    <t>27731073-2</t>
  </si>
  <si>
    <t>Kimberly Alvarez</t>
  </si>
  <si>
    <t>Pedro Riveros 1583, Alto la Campiña Quillay, Depto 212</t>
  </si>
  <si>
    <t>PRE9</t>
  </si>
  <si>
    <t>Josefa Jara Tapia</t>
  </si>
  <si>
    <t>27709364-2</t>
  </si>
  <si>
    <t>Camila Jara</t>
  </si>
  <si>
    <t>Ismael Briceño 1491, Torre D, Depto 13</t>
  </si>
  <si>
    <t>PRE10</t>
  </si>
  <si>
    <t>Moab Jn Francois Caprice</t>
  </si>
  <si>
    <t>27510036-6</t>
  </si>
  <si>
    <t>Mikerne Caprice</t>
  </si>
  <si>
    <t>Block 16, Depto 14</t>
  </si>
  <si>
    <t>PRE11</t>
  </si>
  <si>
    <t>Leonor Marileo Mena</t>
  </si>
  <si>
    <t>27555855-9</t>
  </si>
  <si>
    <t>Mitzi Mena</t>
  </si>
  <si>
    <t>Calle Uno 214, Block 17, Depto 34</t>
  </si>
  <si>
    <t>PRE12</t>
  </si>
  <si>
    <t>Derek Moya Zuñiga</t>
  </si>
  <si>
    <t>27715793-4</t>
  </si>
  <si>
    <t>Nicole Zuñiga</t>
  </si>
  <si>
    <t>Pasaje Dos 1554, Block 15, Depto 17</t>
  </si>
  <si>
    <t>PRE13</t>
  </si>
  <si>
    <t>Sharon Noguera Moreno</t>
  </si>
  <si>
    <t>27727344-6</t>
  </si>
  <si>
    <t>Fatima Moreno</t>
  </si>
  <si>
    <t>Pedro Riveros 1530, Torre F, Depto 4</t>
  </si>
  <si>
    <t>PRE14</t>
  </si>
  <si>
    <t>Liand Ovalles Garcia</t>
  </si>
  <si>
    <t>27711863-7</t>
  </si>
  <si>
    <t>Eliana Garcia</t>
  </si>
  <si>
    <t>Ismael Briceño 1580, Casa 10</t>
  </si>
  <si>
    <t>PRE15</t>
  </si>
  <si>
    <t>Alexander Perez Castillo</t>
  </si>
  <si>
    <t>27751675-6</t>
  </si>
  <si>
    <t>Katherine Castillo</t>
  </si>
  <si>
    <t>Pasaje Uno, Rio Loa 1551, Block 18, Depto 36</t>
  </si>
  <si>
    <t>PRE16</t>
  </si>
  <si>
    <t>Agustina Rojas Padilla</t>
  </si>
  <si>
    <t>27515983-2</t>
  </si>
  <si>
    <t>Algela Padilla</t>
  </si>
  <si>
    <t>Pedro Riveros 1490, Torre F, Depto 23</t>
  </si>
  <si>
    <t>PRE17</t>
  </si>
  <si>
    <t>Liam Sandoval Huamancondor</t>
  </si>
  <si>
    <t>27501254-8</t>
  </si>
  <si>
    <t>Erika Huamancondor</t>
  </si>
  <si>
    <t>Pedro Riveros 1431, Torre 10, Depto 1013</t>
  </si>
  <si>
    <t>PRE18</t>
  </si>
  <si>
    <t>Mia Toboada Cario</t>
  </si>
  <si>
    <t>100845274-8</t>
  </si>
  <si>
    <t>Milagros Cario</t>
  </si>
  <si>
    <t>Pedro Riveros 1583, Ed Avellano, Depto 202</t>
  </si>
  <si>
    <t>Kinder1</t>
  </si>
  <si>
    <t>Antonella Acevedo Gutierres</t>
  </si>
  <si>
    <t>27439144-8</t>
  </si>
  <si>
    <t>Kinder</t>
  </si>
  <si>
    <t>Jenny Gutierres</t>
  </si>
  <si>
    <t>Block 12, Depto 37</t>
  </si>
  <si>
    <t>Kinder2</t>
  </si>
  <si>
    <t>Leonardo Acevedo Gutierres</t>
  </si>
  <si>
    <t>27439138-3</t>
  </si>
  <si>
    <t>Kinder3</t>
  </si>
  <si>
    <t>Emilia Acedevo Tapia</t>
  </si>
  <si>
    <t>27367042-4</t>
  </si>
  <si>
    <t>Keitlyn Tapia</t>
  </si>
  <si>
    <t>Calle Uno, Block 205, Depto 33</t>
  </si>
  <si>
    <t>Kinder4</t>
  </si>
  <si>
    <t>Belicardo Belluevue Sylvain</t>
  </si>
  <si>
    <t>27342265-K</t>
  </si>
  <si>
    <t>Maudeline Sylvain</t>
  </si>
  <si>
    <t>Calle Uno, Block 17, Depto 31</t>
  </si>
  <si>
    <t>Kinder5</t>
  </si>
  <si>
    <t>Miliana Cabreras Figueroa</t>
  </si>
  <si>
    <t>27378915-4</t>
  </si>
  <si>
    <t>Yasna Figueroa</t>
  </si>
  <si>
    <t>Block 15, Depto 14</t>
  </si>
  <si>
    <t>Kinder6</t>
  </si>
  <si>
    <t>Deborah Demosthenes Louis</t>
  </si>
  <si>
    <t>27321076-8</t>
  </si>
  <si>
    <t>Rosia Louis</t>
  </si>
  <si>
    <t>Pedro Riveros 1550, Block 9, Depto 23</t>
  </si>
  <si>
    <t>Kinder7</t>
  </si>
  <si>
    <t>Camilo Gil Barrios</t>
  </si>
  <si>
    <t>27421771-5</t>
  </si>
  <si>
    <t>Keyla Barrios</t>
  </si>
  <si>
    <t>Pedro Riveros 1583, Ed Laurel, Depto 302</t>
  </si>
  <si>
    <t>Kinder8</t>
  </si>
  <si>
    <t>Luna Gonzalez Navarro</t>
  </si>
  <si>
    <t>27322646-K</t>
  </si>
  <si>
    <t>Katherine Navarro</t>
  </si>
  <si>
    <t>Pedro Riveros 1501, Torre D, depto 515</t>
  </si>
  <si>
    <t>Kinder9</t>
  </si>
  <si>
    <t>Damian Guarda Grille</t>
  </si>
  <si>
    <t>27446820-3</t>
  </si>
  <si>
    <t>Priscilla Grille</t>
  </si>
  <si>
    <t>Pedro Riveros 1500, Torre B, Depto 47</t>
  </si>
  <si>
    <t>Kinder10</t>
  </si>
  <si>
    <t>Amira Herrera Acevedo</t>
  </si>
  <si>
    <t>27335289-9</t>
  </si>
  <si>
    <t>Fabian Oyarce</t>
  </si>
  <si>
    <t>Sin Domicilio</t>
  </si>
  <si>
    <t>Kinder11</t>
  </si>
  <si>
    <t>Olvens Horacius Saint Felix</t>
  </si>
  <si>
    <t>27482322-4</t>
  </si>
  <si>
    <t>Olkeus Horacius</t>
  </si>
  <si>
    <t>Pedro Riveros 1583, Ed Roble Depto 414</t>
  </si>
  <si>
    <t>Kinder12</t>
  </si>
  <si>
    <t xml:space="preserve">Kentsley Isidor Oscar </t>
  </si>
  <si>
    <t>27395492-9</t>
  </si>
  <si>
    <t xml:space="preserve">Kentson Isidor </t>
  </si>
  <si>
    <t>Pedro Riveros 1583,  Ed Cipres Depto 101</t>
  </si>
  <si>
    <t>Kinder13</t>
  </si>
  <si>
    <t xml:space="preserve">Lucas Martinez Mesa </t>
  </si>
  <si>
    <t>27369402-1</t>
  </si>
  <si>
    <t xml:space="preserve">Ninoska Mesa </t>
  </si>
  <si>
    <t>Pedro Riveros 1431,  Torre 13 Depto 1343</t>
  </si>
  <si>
    <t>Kinder14</t>
  </si>
  <si>
    <t xml:space="preserve">Antponella Mellado Jara </t>
  </si>
  <si>
    <t>27353230-7</t>
  </si>
  <si>
    <t xml:space="preserve">Sandy Jara </t>
  </si>
  <si>
    <t>Pedro Riveros 1583, Ed Quillay Depto 316</t>
  </si>
  <si>
    <t>Kinder15</t>
  </si>
  <si>
    <t>Colomba Mesa Venegas</t>
  </si>
  <si>
    <t>27439332-7</t>
  </si>
  <si>
    <t>Tania Venegas</t>
  </si>
  <si>
    <t>Pedro Riveros 1431, Torre 13 Depto 1333</t>
  </si>
  <si>
    <t>Kinder16</t>
  </si>
  <si>
    <t xml:space="preserve">Eva Luna Molina Yrausquin </t>
  </si>
  <si>
    <t>27259846-0</t>
  </si>
  <si>
    <t>Roxide Yrausquin</t>
  </si>
  <si>
    <t>Pedro Riveros 1583, Ed Boldo Depto 211</t>
  </si>
  <si>
    <t>Kinder17</t>
  </si>
  <si>
    <t xml:space="preserve">Samuel Parra Polanco </t>
  </si>
  <si>
    <t>27329484-8</t>
  </si>
  <si>
    <t xml:space="preserve">Joan Parra </t>
  </si>
  <si>
    <t xml:space="preserve">Americo vespucio 1456, Depto 302 Torre E </t>
  </si>
  <si>
    <t>Kinder18</t>
  </si>
  <si>
    <t xml:space="preserve">Gabriela Personnat  </t>
  </si>
  <si>
    <t>27471317-8</t>
  </si>
  <si>
    <t>Fabianne Personnat</t>
  </si>
  <si>
    <t>Ismael Briceño 1580 Casa 24</t>
  </si>
  <si>
    <t>Kinder19</t>
  </si>
  <si>
    <t xml:space="preserve">Mackandre Louis Rasmirez </t>
  </si>
  <si>
    <t>27330871-7</t>
  </si>
  <si>
    <t>Jeniffer Ramirez</t>
  </si>
  <si>
    <t>Calle Uno Block 1 Depto 18</t>
  </si>
  <si>
    <t>Kinder20</t>
  </si>
  <si>
    <t xml:space="preserve">Scarlett Sanchez Carvajal </t>
  </si>
  <si>
    <t>27435083-0</t>
  </si>
  <si>
    <t xml:space="preserve">Gisell Carvajal </t>
  </si>
  <si>
    <t>Calle Uno 213 Block 4 Depto 36</t>
  </si>
  <si>
    <t>Kinder21</t>
  </si>
  <si>
    <t>Maximiliano Vera Gonzales</t>
  </si>
  <si>
    <t>27301493-4</t>
  </si>
  <si>
    <t xml:space="preserve">Sofia Gonzales </t>
  </si>
  <si>
    <t>Ismael Briceño 550 Depto 121 A</t>
  </si>
  <si>
    <t>Primero1</t>
  </si>
  <si>
    <t>Axel Acevedo Medina</t>
  </si>
  <si>
    <t>27005878-7</t>
  </si>
  <si>
    <t>Primero</t>
  </si>
  <si>
    <t>Carolina Medina</t>
  </si>
  <si>
    <t>Asma Bronquial</t>
  </si>
  <si>
    <t>Primero2</t>
  </si>
  <si>
    <t>Emili Aguilar Collio</t>
  </si>
  <si>
    <t>27208287-1</t>
  </si>
  <si>
    <t>Daniela Collio</t>
  </si>
  <si>
    <t>Pedro Riveros 1500, Block G, Depto 47</t>
  </si>
  <si>
    <t>Primero3</t>
  </si>
  <si>
    <t>Yosmer Andrade Ynciarte</t>
  </si>
  <si>
    <t>28546125-1</t>
  </si>
  <si>
    <t>Glorimar Ynciarte</t>
  </si>
  <si>
    <t>Pedro Riveros 1583, Ed. Boldo, Depto 318</t>
  </si>
  <si>
    <t>Primero4</t>
  </si>
  <si>
    <t>Eileen Angulo Zuñiga</t>
  </si>
  <si>
    <t>27171722-9</t>
  </si>
  <si>
    <t>Elisabeth Zuñiga</t>
  </si>
  <si>
    <t>Pedro Riveros 1583, Ed. Boldo, Depto 105</t>
  </si>
  <si>
    <t>Primero5</t>
  </si>
  <si>
    <t>Mia Camille Camille</t>
  </si>
  <si>
    <t>26979154-3</t>
  </si>
  <si>
    <t>Jean Camille</t>
  </si>
  <si>
    <t>Calle Uno 221, Block 6, Depto 24</t>
  </si>
  <si>
    <t>Primero6</t>
  </si>
  <si>
    <t>Gael Cantillana Liempan</t>
  </si>
  <si>
    <t>26786350-4</t>
  </si>
  <si>
    <t>Miguel Cantillana</t>
  </si>
  <si>
    <t>Pedro Riveros 1481, Torre 6, Depto 612</t>
  </si>
  <si>
    <t>Primero7</t>
  </si>
  <si>
    <t>Pricila Cepeda Flores</t>
  </si>
  <si>
    <t>27056854-8</t>
  </si>
  <si>
    <t>Marilyn Obreque</t>
  </si>
  <si>
    <t>Av. Las Torres 2231, Pasaje Torre 2, Casa 29 Campo lindo</t>
  </si>
  <si>
    <t>Primero8</t>
  </si>
  <si>
    <t>Alexa Da Rocha Sanchez</t>
  </si>
  <si>
    <t>100780566-3</t>
  </si>
  <si>
    <t>Mervin Da Rocha</t>
  </si>
  <si>
    <t>Ismael Briceño 1531, Torre G, Depto 34</t>
  </si>
  <si>
    <t>Primero9</t>
  </si>
  <si>
    <t>Malaica Dorcelus Rosemond</t>
  </si>
  <si>
    <t>26545554-9</t>
  </si>
  <si>
    <t>Rosemitha Rosemond</t>
  </si>
  <si>
    <t>Pedro Riveros 1583, Ed. Roble, Depto 105</t>
  </si>
  <si>
    <t>Primero10</t>
  </si>
  <si>
    <t>Antonia Fuentes Aros</t>
  </si>
  <si>
    <t>26944828-8</t>
  </si>
  <si>
    <t>Jorgue Fuentes</t>
  </si>
  <si>
    <t>Pedro Riveros 1501, Torre F, Depto 524</t>
  </si>
  <si>
    <t>Primero11</t>
  </si>
  <si>
    <t>Olvanie Horacius Saint Felix</t>
  </si>
  <si>
    <t>26940314-4</t>
  </si>
  <si>
    <t>Pedro Riveros 1583, Ed. Roble, Depto 414</t>
  </si>
  <si>
    <t>Primero12</t>
  </si>
  <si>
    <t xml:space="preserve">Ariana Leon Vidales </t>
  </si>
  <si>
    <t>27037224-4</t>
  </si>
  <si>
    <t>Johana Vidales</t>
  </si>
  <si>
    <t xml:space="preserve">Astigmatismo con extravismo y amigdalas hipertroficas </t>
  </si>
  <si>
    <t>Pje 2 1550, Block 8. Depto 17</t>
  </si>
  <si>
    <t>Primero13</t>
  </si>
  <si>
    <t>Jonatha Lessage Joseph</t>
  </si>
  <si>
    <t>27142875-8</t>
  </si>
  <si>
    <t>Marie Joseph</t>
  </si>
  <si>
    <t>Calle Uno, Block 17. Depto 14</t>
  </si>
  <si>
    <t>Primero14</t>
  </si>
  <si>
    <t xml:space="preserve">Fiorella Lopez giraldo </t>
  </si>
  <si>
    <t>31446169-1</t>
  </si>
  <si>
    <t xml:space="preserve">Lina Lopez </t>
  </si>
  <si>
    <t>Pedro Riveros 1583</t>
  </si>
  <si>
    <t>Primero15</t>
  </si>
  <si>
    <t>Luis Lopez Hernandez</t>
  </si>
  <si>
    <t>100659846-k</t>
  </si>
  <si>
    <t xml:space="preserve">Leonardo López </t>
  </si>
  <si>
    <t>Pedro Riveros 1583, Ed Algarrobo. Depto 215</t>
  </si>
  <si>
    <t>Primero16</t>
  </si>
  <si>
    <t xml:space="preserve">Amaro Lopez Orellana </t>
  </si>
  <si>
    <t>26777086-7</t>
  </si>
  <si>
    <t xml:space="preserve">Diamar Orellana </t>
  </si>
  <si>
    <t>Pedro Riveros 1500, Torre G. Depto 45</t>
  </si>
  <si>
    <t>Primero17</t>
  </si>
  <si>
    <t>Damian Millán Barraza</t>
  </si>
  <si>
    <t>26895309-4</t>
  </si>
  <si>
    <t xml:space="preserve">Jazmin Barraza </t>
  </si>
  <si>
    <t xml:space="preserve">Arritmia </t>
  </si>
  <si>
    <t xml:space="preserve">Alcalá Norte 1346 </t>
  </si>
  <si>
    <t>Primero18</t>
  </si>
  <si>
    <t>Thomas Ortiz Navarro</t>
  </si>
  <si>
    <t>27252928-0</t>
  </si>
  <si>
    <t>Jenifer Navarro</t>
  </si>
  <si>
    <t>Ismael Briceño 1491, Torre F. Depto 14</t>
  </si>
  <si>
    <t>Primero19</t>
  </si>
  <si>
    <t>Caín Peralta Bravo</t>
  </si>
  <si>
    <t>27001277-9</t>
  </si>
  <si>
    <t>Carolina Bravo</t>
  </si>
  <si>
    <t>Calle Uno, Pasaje 2, Block 16. Depto 32</t>
  </si>
  <si>
    <t>Primero20</t>
  </si>
  <si>
    <t>Luis Pineira Muñoz</t>
  </si>
  <si>
    <t>27249239-5</t>
  </si>
  <si>
    <t>Olga Muñoz</t>
  </si>
  <si>
    <t>Sin Telefono</t>
  </si>
  <si>
    <t>Pedro Riveros 1530, Torre D. Depto 25</t>
  </si>
  <si>
    <t>Primero21</t>
  </si>
  <si>
    <t xml:space="preserve">Victoria Rojas Merino </t>
  </si>
  <si>
    <t>26798108-6</t>
  </si>
  <si>
    <t xml:space="preserve">Priscila Merino </t>
  </si>
  <si>
    <t>Pedro Riveros 1583, Ed Quillay. Depto 326</t>
  </si>
  <si>
    <t>Primero22</t>
  </si>
  <si>
    <t xml:space="preserve">Alexander Xavier  Sagaille </t>
  </si>
  <si>
    <t>27185763-2</t>
  </si>
  <si>
    <t>Guerda Sagaille</t>
  </si>
  <si>
    <t>Las Torres 178</t>
  </si>
  <si>
    <t>Primero23</t>
  </si>
  <si>
    <t xml:space="preserve">Sofia Yaguaracuto Arevalo </t>
  </si>
  <si>
    <t>27065759-1</t>
  </si>
  <si>
    <t xml:space="preserve">Joselyn Arevalo </t>
  </si>
  <si>
    <t>Av las Torres 231, Casa 8</t>
  </si>
  <si>
    <t>Segundo1</t>
  </si>
  <si>
    <t>Frenyer Meza Cardenas</t>
  </si>
  <si>
    <t>100779989-2</t>
  </si>
  <si>
    <t>Segundo</t>
  </si>
  <si>
    <t>Maria Cardenas</t>
  </si>
  <si>
    <t>Ismael Briceño 1150, Block 32, Depto 32</t>
  </si>
  <si>
    <t>Segundo2</t>
  </si>
  <si>
    <t>Milovan Acevedo Carcamo</t>
  </si>
  <si>
    <t>26321233-9</t>
  </si>
  <si>
    <t>Jennifer Carcamo</t>
  </si>
  <si>
    <t>Pedro Riveros, 1521, Casa 115 A</t>
  </si>
  <si>
    <t>Segundo3</t>
  </si>
  <si>
    <t>Noah Acuña Lujan</t>
  </si>
  <si>
    <t>26455585-K</t>
  </si>
  <si>
    <t>Miluska Lujan</t>
  </si>
  <si>
    <t>Segundo4</t>
  </si>
  <si>
    <t>Elizabeth Baldini Sanchez</t>
  </si>
  <si>
    <t>26254557-1</t>
  </si>
  <si>
    <t>Renata Sanchez</t>
  </si>
  <si>
    <t>Pedro Riveros 1521, Los Jardines 1, Depto 510, Torre C</t>
  </si>
  <si>
    <t>Segundo5</t>
  </si>
  <si>
    <t>Angel Basabe Hernandez</t>
  </si>
  <si>
    <t>26475721-5</t>
  </si>
  <si>
    <t>Yoangela Hernandez</t>
  </si>
  <si>
    <t>Alc. Juan Larenas 301, Ed. Laurel, Depto 424</t>
  </si>
  <si>
    <t>Segundo6</t>
  </si>
  <si>
    <t>Angel Bobadilla Robles</t>
  </si>
  <si>
    <t>26269894-7</t>
  </si>
  <si>
    <t>Angelica Robles</t>
  </si>
  <si>
    <t>Pasaje Dos 022, Block 14, Depto 21</t>
  </si>
  <si>
    <t>Segundo7</t>
  </si>
  <si>
    <t>Abel Cortes Rojas</t>
  </si>
  <si>
    <t>26636805-4</t>
  </si>
  <si>
    <t>Rocio Rojas</t>
  </si>
  <si>
    <t>Pedro Riveros 1501, Torre B, Depto 105</t>
  </si>
  <si>
    <t>Segundo8</t>
  </si>
  <si>
    <t>Eliezer Demosthenes Louis</t>
  </si>
  <si>
    <t>26370611-0</t>
  </si>
  <si>
    <t>Segundo9</t>
  </si>
  <si>
    <t>Austin Diaz Correa</t>
  </si>
  <si>
    <t>28391134-9</t>
  </si>
  <si>
    <t>Marymar Correa</t>
  </si>
  <si>
    <t>Juan Larenas 185, Torre A, Depto 301</t>
  </si>
  <si>
    <t>Segundo10</t>
  </si>
  <si>
    <t>Millan Faune Bravo</t>
  </si>
  <si>
    <t>26546718-0</t>
  </si>
  <si>
    <t>Lindsag Bravo</t>
  </si>
  <si>
    <t>Villa Pucara, Block 7, Depto 18</t>
  </si>
  <si>
    <t>Segundo11</t>
  </si>
  <si>
    <t>Dilan Gomez Rojas</t>
  </si>
  <si>
    <t>28696691-8</t>
  </si>
  <si>
    <t>Karen Rojas</t>
  </si>
  <si>
    <t>Pedro Riveros 1583, Ed. Laurel, Depto 217</t>
  </si>
  <si>
    <t>Segundo12</t>
  </si>
  <si>
    <t>Elizabeth Guajardo Gutierrez</t>
  </si>
  <si>
    <t>26453089-K</t>
  </si>
  <si>
    <t>Graciela Gutierres</t>
  </si>
  <si>
    <t>Pedro Riveros 1583, Ed. Canelo, Depto 402</t>
  </si>
  <si>
    <t>Segundo13</t>
  </si>
  <si>
    <t>Jean Ysma Louis Charles</t>
  </si>
  <si>
    <t>26639961-0</t>
  </si>
  <si>
    <t xml:space="preserve">Ytela Louis Charles </t>
  </si>
  <si>
    <t>Pedro Riveros 1583, Ed. Alamo, Depto 212</t>
  </si>
  <si>
    <t>Segundo14</t>
  </si>
  <si>
    <t xml:space="preserve">Derlentz Laurent Millan </t>
  </si>
  <si>
    <t>26305123-8</t>
  </si>
  <si>
    <t>Ndaniela Millan</t>
  </si>
  <si>
    <t>Rio Lluta 1550, Block 16, Depto 36</t>
  </si>
  <si>
    <t>Segundo15</t>
  </si>
  <si>
    <t>Jonatan Marcelus Nafrere</t>
  </si>
  <si>
    <t>26696817-5</t>
  </si>
  <si>
    <t>Mackenson Marcelus</t>
  </si>
  <si>
    <t>Calle 1, 1551, Depto 28, Pucara</t>
  </si>
  <si>
    <t>Segundo16</t>
  </si>
  <si>
    <t>Nahiara Olano Martinez</t>
  </si>
  <si>
    <t>100685964-6</t>
  </si>
  <si>
    <t>Diana Martinez</t>
  </si>
  <si>
    <t>Pedro Riveros 1521, Torre B, Depto 205</t>
  </si>
  <si>
    <t>Segundo17</t>
  </si>
  <si>
    <t>Jordano Meza Venegas</t>
  </si>
  <si>
    <t>25817696-0</t>
  </si>
  <si>
    <t>Segundo18</t>
  </si>
  <si>
    <t>Guliana Pineira Muñoz</t>
  </si>
  <si>
    <t>26380965-3</t>
  </si>
  <si>
    <t>Pedro Riveros 1530, Torre B, Depto 22</t>
  </si>
  <si>
    <t>Segundo19</t>
  </si>
  <si>
    <t>Antonella Rincon Wylie</t>
  </si>
  <si>
    <t>28350881-1</t>
  </si>
  <si>
    <t>Anyi Rincon</t>
  </si>
  <si>
    <t>Pedro Riveros 1480, TorreA, Depto 22</t>
  </si>
  <si>
    <t>Segundo20</t>
  </si>
  <si>
    <t>Jose Salazar Villalba</t>
  </si>
  <si>
    <t>100785163-0</t>
  </si>
  <si>
    <t>Liliana Villalba</t>
  </si>
  <si>
    <t>Calle Uno, Block 8, Depto 24</t>
  </si>
  <si>
    <t>Segundo21</t>
  </si>
  <si>
    <t>Rodrigo Silva Metellus</t>
  </si>
  <si>
    <t>26642893-6</t>
  </si>
  <si>
    <t>Vacune Metellus</t>
  </si>
  <si>
    <t>Pedro Riveros 1583, Algarrobo, Depto 414</t>
  </si>
  <si>
    <t>Segundo22</t>
  </si>
  <si>
    <t>Santiago Tapia Lambrano</t>
  </si>
  <si>
    <t>Pendiente</t>
  </si>
  <si>
    <t xml:space="preserve">Benifer Tapia </t>
  </si>
  <si>
    <t>Ismael Briceño 1531, Torre G, Depto 24</t>
  </si>
  <si>
    <t>Segundo23</t>
  </si>
  <si>
    <t xml:space="preserve">Aranza Torres </t>
  </si>
  <si>
    <t xml:space="preserve">Marielis Torres </t>
  </si>
  <si>
    <t>Rio Lluta, Block 10. Depto 37</t>
  </si>
  <si>
    <t>Segundo24</t>
  </si>
  <si>
    <t xml:space="preserve">Alonso Urzua Arce </t>
  </si>
  <si>
    <t>25895306-1</t>
  </si>
  <si>
    <t xml:space="preserve">Lisbet Arce </t>
  </si>
  <si>
    <t>Calle Uno, Block 1. Depto 11</t>
  </si>
  <si>
    <t>Segundo25</t>
  </si>
  <si>
    <t xml:space="preserve">Emiliano Vallejos Parra </t>
  </si>
  <si>
    <t>26353942-7</t>
  </si>
  <si>
    <t xml:space="preserve">Giordana Parra </t>
  </si>
  <si>
    <t>Ismael Briceño 1501, Torre B. Depto 48</t>
  </si>
  <si>
    <t>Tercero1</t>
  </si>
  <si>
    <t>Benjamin Alfaro Antinao</t>
  </si>
  <si>
    <t>25792492-0</t>
  </si>
  <si>
    <t>Tercero</t>
  </si>
  <si>
    <t>Alioska Antinao</t>
  </si>
  <si>
    <t>Pedro Riveros 1583, Ed. Algarrobo, Depto 412</t>
  </si>
  <si>
    <t>Tercero2</t>
  </si>
  <si>
    <t>Matias Arteaga Sanchez</t>
  </si>
  <si>
    <t>25850998-6</t>
  </si>
  <si>
    <t>Karen Sanchez</t>
  </si>
  <si>
    <t>Pedro Riveros 1583, Torre Laurel, Depto 203</t>
  </si>
  <si>
    <t>Tercero3</t>
  </si>
  <si>
    <t>Vernardesky Auguste Auguste</t>
  </si>
  <si>
    <t>25969415-9</t>
  </si>
  <si>
    <t>Mandeline Auguste</t>
  </si>
  <si>
    <t>Calle Uno, Block 4. Depto 38</t>
  </si>
  <si>
    <t>Tercero4</t>
  </si>
  <si>
    <t>Amaral Briceño Cid</t>
  </si>
  <si>
    <t>25478445-1</t>
  </si>
  <si>
    <t>Denisse Cid</t>
  </si>
  <si>
    <t>Pedro Riveros 1530, Torre B. Depto 23</t>
  </si>
  <si>
    <t>Tercero5</t>
  </si>
  <si>
    <t xml:space="preserve">Aurora Candia Segura </t>
  </si>
  <si>
    <t>25876190-1</t>
  </si>
  <si>
    <t>Pilar Segura</t>
  </si>
  <si>
    <t>Ismael Briceño 1555, Block 22. Depto 38</t>
  </si>
  <si>
    <t>Tercero6</t>
  </si>
  <si>
    <t>Mariana Cardona Loyo</t>
  </si>
  <si>
    <t>100733682-5</t>
  </si>
  <si>
    <t>Merlis Loyo</t>
  </si>
  <si>
    <t>Ismael Briceño 1551, Block 24, Depto 34</t>
  </si>
  <si>
    <t>Tercero7</t>
  </si>
  <si>
    <t>Santiago Castillo Julca</t>
  </si>
  <si>
    <t>25818449-1</t>
  </si>
  <si>
    <t>GianCarlos Castillo</t>
  </si>
  <si>
    <t>Pedro Riveros 1835, Ed. Arellano, Depto 210</t>
  </si>
  <si>
    <t>Tercero8</t>
  </si>
  <si>
    <t>Arantza Castillo Gomez</t>
  </si>
  <si>
    <t>28523374-7</t>
  </si>
  <si>
    <t>Gabriela Gomez</t>
  </si>
  <si>
    <t>Pedro Riveros 1554, Block 11, Depto 14</t>
  </si>
  <si>
    <t>Tercero9</t>
  </si>
  <si>
    <t>Kelviany Chavez Pirela</t>
  </si>
  <si>
    <t>100568969-0</t>
  </si>
  <si>
    <t>Naikasi Pirela</t>
  </si>
  <si>
    <t>Av. Las Torres , Pasaje 1, Casa 3</t>
  </si>
  <si>
    <t>Tercero10</t>
  </si>
  <si>
    <t>Joel Contreras Vergara</t>
  </si>
  <si>
    <t>25853982-6</t>
  </si>
  <si>
    <t>Marjorie Vergara</t>
  </si>
  <si>
    <t>Parinacota 593</t>
  </si>
  <si>
    <t>Tercero11</t>
  </si>
  <si>
    <t>Mateo Correa Cortes</t>
  </si>
  <si>
    <t>26157289-3</t>
  </si>
  <si>
    <t>Giovanna Cortes</t>
  </si>
  <si>
    <t>Pedro Riveros 1583, Ed. Litre, Depto 206</t>
  </si>
  <si>
    <t>Tercero12</t>
  </si>
  <si>
    <t>Yissel Cruz Mujica</t>
  </si>
  <si>
    <t>100638479-6</t>
  </si>
  <si>
    <t>Maria Mujica</t>
  </si>
  <si>
    <t>Pedro Riveros 1583, Ed. Araucaria, Depto 303</t>
  </si>
  <si>
    <t>Tercero13</t>
  </si>
  <si>
    <t>Paula Danilla Soto</t>
  </si>
  <si>
    <t>25751937-6</t>
  </si>
  <si>
    <t>Jessica Soto</t>
  </si>
  <si>
    <t>Alcalde Juan Larenas 185, Torre M, Depto 149</t>
  </si>
  <si>
    <t>Tercero14</t>
  </si>
  <si>
    <t>Amaro Jara Collio</t>
  </si>
  <si>
    <t>26006504-1</t>
  </si>
  <si>
    <t>Claudia Collio</t>
  </si>
  <si>
    <t>Pedro Riveros 1500, Block G, Depto 46</t>
  </si>
  <si>
    <t>Tercero15</t>
  </si>
  <si>
    <t>Missoucky Jean Louis</t>
  </si>
  <si>
    <t>28515014-0</t>
  </si>
  <si>
    <t>Sony Jean Louis</t>
  </si>
  <si>
    <t>Calle Uno, Psj 2, Block 10, Depto 14</t>
  </si>
  <si>
    <t>Tercero16</t>
  </si>
  <si>
    <t>Loussica Jean Louis</t>
  </si>
  <si>
    <t>26171683-6</t>
  </si>
  <si>
    <t>Fimance Jean Louis</t>
  </si>
  <si>
    <t>Pedro Riveros 1500, Block 9, Depto 37</t>
  </si>
  <si>
    <t>Tercero17</t>
  </si>
  <si>
    <t>Daniel Macias Reyes</t>
  </si>
  <si>
    <t>26001728-4</t>
  </si>
  <si>
    <t>Daniela Reyes</t>
  </si>
  <si>
    <t>Ismael Briceño 1531, Torre G, Depto 21</t>
  </si>
  <si>
    <t>Tercero18</t>
  </si>
  <si>
    <t>Benjamin Martinez Meza</t>
  </si>
  <si>
    <t>25841988-K</t>
  </si>
  <si>
    <t>Ninoska Meza</t>
  </si>
  <si>
    <t>Pedro Riveros 1431, Torre 13, Depto 1343</t>
  </si>
  <si>
    <t>Tercero19</t>
  </si>
  <si>
    <t>Emanuely Michaud Pirre</t>
  </si>
  <si>
    <t>25833257-1</t>
  </si>
  <si>
    <t>Judeline Pirre</t>
  </si>
  <si>
    <t>Pedro Riveros 1583, Ed. Algarrobo, Depto 317</t>
  </si>
  <si>
    <t>Tercero20</t>
  </si>
  <si>
    <t>Alexis Peralta Bravo</t>
  </si>
  <si>
    <t>25797153-8</t>
  </si>
  <si>
    <t>Calle Uno, Psj 2, Block 16, Depto 32</t>
  </si>
  <si>
    <t>Tercero21</t>
  </si>
  <si>
    <t>Sofia Perez Castillo</t>
  </si>
  <si>
    <t>26017142-9</t>
  </si>
  <si>
    <t>Psj Uno, Rio Loa 1551, Block 18, Depto 36</t>
  </si>
  <si>
    <t>Tercero22</t>
  </si>
  <si>
    <t>Alexis Personat Personat</t>
  </si>
  <si>
    <t>25788116-4</t>
  </si>
  <si>
    <t>Ismael Briceño 1580, Casa 24</t>
  </si>
  <si>
    <t>Tercero23</t>
  </si>
  <si>
    <t>Caleb Ramirez Cuenca</t>
  </si>
  <si>
    <t>26173987-9</t>
  </si>
  <si>
    <t>Maria Cuenca</t>
  </si>
  <si>
    <t>Pedro Riveros 1583, Ed. Alamo, Depto 311</t>
  </si>
  <si>
    <t>Tercero24</t>
  </si>
  <si>
    <t>Nicolas Sanhueza Leyton</t>
  </si>
  <si>
    <t>25761073-K</t>
  </si>
  <si>
    <t>Arlette Leyton</t>
  </si>
  <si>
    <t>Pedro Riveros 1480, Torre B, Depto 45</t>
  </si>
  <si>
    <t>Tercero25</t>
  </si>
  <si>
    <t>Cristopher Sanchez Carvajal</t>
  </si>
  <si>
    <t>100508501-9</t>
  </si>
  <si>
    <t>Giselle Carvajal</t>
  </si>
  <si>
    <t>Calle uno 213, Block 4. Depto 36</t>
  </si>
  <si>
    <t>Tercero26</t>
  </si>
  <si>
    <t xml:space="preserve">Bruno Soto Hormazabal </t>
  </si>
  <si>
    <t>26107507-5</t>
  </si>
  <si>
    <t>Nadia Hormazabal</t>
  </si>
  <si>
    <t>Pedro Riveros 1583, Ed. Canelo, Depto 315</t>
  </si>
  <si>
    <t>Tercero27</t>
  </si>
  <si>
    <t>Federson ST Fleur Alcine</t>
  </si>
  <si>
    <t>26189242-1</t>
  </si>
  <si>
    <t>Jefferson ST Fleur</t>
  </si>
  <si>
    <t>Pedro Riveros 1583, Ed. Algarrobo, Depto 318</t>
  </si>
  <si>
    <t>Tercero28</t>
  </si>
  <si>
    <t>Mariano ST Rock ST Vil</t>
  </si>
  <si>
    <t>25883027-K</t>
  </si>
  <si>
    <t>Lude St vil</t>
  </si>
  <si>
    <t>Calle uno, Block 9, Depto 16</t>
  </si>
  <si>
    <t>Tercero29</t>
  </si>
  <si>
    <t>Santino Tapia Martinez</t>
  </si>
  <si>
    <t>25937983-0</t>
  </si>
  <si>
    <t>Solange Martinez</t>
  </si>
  <si>
    <t>Pedro Riveros 1530, Torre F, Depto 43</t>
  </si>
  <si>
    <t>Tercero30</t>
  </si>
  <si>
    <t>Khyarah Taussaint Joseph</t>
  </si>
  <si>
    <t>26015729-9</t>
  </si>
  <si>
    <t>Roosvelt Taussaint</t>
  </si>
  <si>
    <t>Psj 2, Block 14, Depto 26</t>
  </si>
  <si>
    <t>Cuarto1</t>
  </si>
  <si>
    <t>Zina Almilhem Eldaas</t>
  </si>
  <si>
    <t>25600594-8</t>
  </si>
  <si>
    <t>Cuarto</t>
  </si>
  <si>
    <t>Pedro Riveros 1583, Ed Algarrobo. Depto 106</t>
  </si>
  <si>
    <t>Cuarto2</t>
  </si>
  <si>
    <t xml:space="preserve">Esteban Aravena Cabello </t>
  </si>
  <si>
    <t>25175821-2</t>
  </si>
  <si>
    <t xml:space="preserve">Mauricio Aravena </t>
  </si>
  <si>
    <t>Pedro Riveros 1500, Block C. Depto 21</t>
  </si>
  <si>
    <t>Cuarto3</t>
  </si>
  <si>
    <t xml:space="preserve">Vicente Aravena Cabello </t>
  </si>
  <si>
    <t>25175159-3</t>
  </si>
  <si>
    <t>Pedro Riveros 1500, Block C. Depto 22</t>
  </si>
  <si>
    <t>Cuarto4</t>
  </si>
  <si>
    <t>Jeremias Arqueros Toro</t>
  </si>
  <si>
    <t>25114343-9</t>
  </si>
  <si>
    <t>Lisbeth Toro</t>
  </si>
  <si>
    <t>Pedro Riveros 1481, Torre 06. Depto 21</t>
  </si>
  <si>
    <t>Cuarto5</t>
  </si>
  <si>
    <t xml:space="preserve">Yuseth Ballesteros Gonzales </t>
  </si>
  <si>
    <t>25716455-1</t>
  </si>
  <si>
    <t xml:space="preserve">Maribel Gonzales </t>
  </si>
  <si>
    <t>Pedro Riveros 1550, Block 9. Depto 36</t>
  </si>
  <si>
    <t>Cuarto6</t>
  </si>
  <si>
    <t xml:space="preserve">Jose Bustos Navarrete </t>
  </si>
  <si>
    <t>25551516-0</t>
  </si>
  <si>
    <t xml:space="preserve">Penelope Navarrete </t>
  </si>
  <si>
    <t>Av las Torres 231,  psje 3. Casa 42</t>
  </si>
  <si>
    <t>Cuarto7</t>
  </si>
  <si>
    <t>Yohasly Cardenas Camacho</t>
  </si>
  <si>
    <t>100557163-6</t>
  </si>
  <si>
    <t xml:space="preserve">Jorman Cardenas </t>
  </si>
  <si>
    <t>Pedro Riveros Block 8, Depto 24</t>
  </si>
  <si>
    <t>Cuarto8</t>
  </si>
  <si>
    <t xml:space="preserve">Julio Cortez Rojas </t>
  </si>
  <si>
    <t>25471795-9</t>
  </si>
  <si>
    <t>Cuarto9</t>
  </si>
  <si>
    <t xml:space="preserve">Fedna Flerimon Flerimon </t>
  </si>
  <si>
    <t>25353268-8</t>
  </si>
  <si>
    <t>Martha Flerimon</t>
  </si>
  <si>
    <t>Pedro Riveros 1562, Block 12. Depto 24</t>
  </si>
  <si>
    <t>Cuarto10</t>
  </si>
  <si>
    <t>Bastian Gonzalez Navarro</t>
  </si>
  <si>
    <t>25651565-2</t>
  </si>
  <si>
    <t>Pedro Riveros 1501, A Torre D. Depto 515</t>
  </si>
  <si>
    <t>Cuarto11</t>
  </si>
  <si>
    <t xml:space="preserve">Exeviel Hernandez Rios </t>
  </si>
  <si>
    <t>24444495-2</t>
  </si>
  <si>
    <t xml:space="preserve">Cinthia Rios </t>
  </si>
  <si>
    <t>Ismael Briceño 1501, Torre C. Depto 48</t>
  </si>
  <si>
    <t>Cuarto12</t>
  </si>
  <si>
    <t xml:space="preserve"> Joceca Jean Louis</t>
  </si>
  <si>
    <t>26263016-1</t>
  </si>
  <si>
    <t>Finance Jean Louis</t>
  </si>
  <si>
    <t>Cuarto13</t>
  </si>
  <si>
    <t>Dominique Martinez Espinoza</t>
  </si>
  <si>
    <t>25561032-5</t>
  </si>
  <si>
    <t>Pia Espinoza</t>
  </si>
  <si>
    <t>Pedro Riveros 1501, A Torre F. Depto 523</t>
  </si>
  <si>
    <t>Cuarto14</t>
  </si>
  <si>
    <t xml:space="preserve">Sofia Meza Venegas </t>
  </si>
  <si>
    <t>25206765-5</t>
  </si>
  <si>
    <t>Pedro Riveros 1431, Depto 1333. Torre 13</t>
  </si>
  <si>
    <t>Cuarto15</t>
  </si>
  <si>
    <t>Gustavo Morales Leon</t>
  </si>
  <si>
    <t>25373095-1</t>
  </si>
  <si>
    <t xml:space="preserve">Madrianela Retamal </t>
  </si>
  <si>
    <t>Psje Uno, Rio Lluta, Block 15. Depto 31</t>
  </si>
  <si>
    <t>Cuarto16</t>
  </si>
  <si>
    <t xml:space="preserve">Mailen Morales Meza </t>
  </si>
  <si>
    <t>25338554-5</t>
  </si>
  <si>
    <t xml:space="preserve">Hilda Meza </t>
  </si>
  <si>
    <t>Pedro Riveros 1500, Torre G. Depto 42</t>
  </si>
  <si>
    <t>Cuarto17</t>
  </si>
  <si>
    <t xml:space="preserve">Elias Moya Zuñiga </t>
  </si>
  <si>
    <t>25412792-2</t>
  </si>
  <si>
    <t>Rio Lluta, Block 15, Depto 17</t>
  </si>
  <si>
    <t>Cuarto18</t>
  </si>
  <si>
    <t>Yan Ocampo Osorio</t>
  </si>
  <si>
    <t>25489965-8</t>
  </si>
  <si>
    <t xml:space="preserve">Natalia Osorio </t>
  </si>
  <si>
    <t>Pedro Riveros 1583, Ed Boldo. Depto 402</t>
  </si>
  <si>
    <t>Cuarto19</t>
  </si>
  <si>
    <t xml:space="preserve">Tomas Quiroga Valdebenito </t>
  </si>
  <si>
    <t>25478842-2</t>
  </si>
  <si>
    <t>Luisa Valdebenito</t>
  </si>
  <si>
    <t>Pedro Riveros 1530, Torre G. Depto 43</t>
  </si>
  <si>
    <t>Cuarto20</t>
  </si>
  <si>
    <t xml:space="preserve">Emmanuel Rios Aranda </t>
  </si>
  <si>
    <t>100591826-6</t>
  </si>
  <si>
    <t xml:space="preserve">Celida Aranda </t>
  </si>
  <si>
    <t>Ismael Briceño 1531, Torre B, Depto 21</t>
  </si>
  <si>
    <t>Cuarto21</t>
  </si>
  <si>
    <t xml:space="preserve">Amanda Rojas Padilla </t>
  </si>
  <si>
    <t>25350696-2</t>
  </si>
  <si>
    <t xml:space="preserve">Angela Padilla </t>
  </si>
  <si>
    <t xml:space="preserve">Rinitis Cronica </t>
  </si>
  <si>
    <t>Pedro Riveros 1490, Torre G,Depto 24</t>
  </si>
  <si>
    <t>Cuarto22</t>
  </si>
  <si>
    <t xml:space="preserve">Matias Sanchez Carvajal </t>
  </si>
  <si>
    <t>100466687-9</t>
  </si>
  <si>
    <t xml:space="preserve">Gissel Carvajal </t>
  </si>
  <si>
    <t>Cuarto23</t>
  </si>
  <si>
    <t xml:space="preserve">Mathias Sayago Piña </t>
  </si>
  <si>
    <t>28162888-7</t>
  </si>
  <si>
    <t xml:space="preserve">Yalimar Piña </t>
  </si>
  <si>
    <t xml:space="preserve">Av Las Torres 250, Casa 93. Portada del Valle </t>
  </si>
  <si>
    <t>Cuarto24</t>
  </si>
  <si>
    <t xml:space="preserve">Jean Simphard Simphard </t>
  </si>
  <si>
    <t>25580896-6</t>
  </si>
  <si>
    <t>Jean Simphard</t>
  </si>
  <si>
    <t>Pedro Riveros 1583, Ed Canelo, Depto 305</t>
  </si>
  <si>
    <t>Cuarto25</t>
  </si>
  <si>
    <t xml:space="preserve">Josefinba Soto Hormazabal </t>
  </si>
  <si>
    <t>25470259-5</t>
  </si>
  <si>
    <t>Pedro Riveros 1583, Ed Canelo, Depto 315</t>
  </si>
  <si>
    <t>Cuarto26</t>
  </si>
  <si>
    <t xml:space="preserve">Stephano Valdivia Riquelme </t>
  </si>
  <si>
    <t>25260631-9</t>
  </si>
  <si>
    <t xml:space="preserve">Yerly Riquelme </t>
  </si>
  <si>
    <t>Pje Rio Loa 802, Block 20, Depto 24</t>
  </si>
  <si>
    <t>Cuarto27</t>
  </si>
  <si>
    <t xml:space="preserve">Leonardo Vallejos Parra </t>
  </si>
  <si>
    <t>25433451-0</t>
  </si>
  <si>
    <t>Cuarto28</t>
  </si>
  <si>
    <t xml:space="preserve">Loris Velasquez Zuñiga </t>
  </si>
  <si>
    <t>28531363-5</t>
  </si>
  <si>
    <t xml:space="preserve">Loris Zuñiga </t>
  </si>
  <si>
    <t xml:space="preserve">Pedro Riveros 1595 </t>
  </si>
  <si>
    <t>Quinto1</t>
  </si>
  <si>
    <t>Felipe Allendes Irribarra</t>
  </si>
  <si>
    <t>25179978-4</t>
  </si>
  <si>
    <t>Quinto</t>
  </si>
  <si>
    <t>Joselyn Irribarra</t>
  </si>
  <si>
    <t>Av Las Torres 231, Casa 21</t>
  </si>
  <si>
    <t>Quinto2</t>
  </si>
  <si>
    <t xml:space="preserve">Leticia Aravena Vega </t>
  </si>
  <si>
    <t>24956531-8</t>
  </si>
  <si>
    <t>Luis Aravena</t>
  </si>
  <si>
    <t>El Alcornoque 1590</t>
  </si>
  <si>
    <t>Quinto3</t>
  </si>
  <si>
    <t xml:space="preserve">Magdalena Aravena Vega </t>
  </si>
  <si>
    <t>24956517-2</t>
  </si>
  <si>
    <t>Quinto4</t>
  </si>
  <si>
    <t xml:space="preserve">Arturo Bohorquez Barboza </t>
  </si>
  <si>
    <t>25809397-6</t>
  </si>
  <si>
    <t>Dayana Barboza</t>
  </si>
  <si>
    <t>Psje Puerto  Llano 510 Valle lo campino</t>
  </si>
  <si>
    <t>Quinto5</t>
  </si>
  <si>
    <t xml:space="preserve">Arlet Bosques Olivera </t>
  </si>
  <si>
    <t>25294979-8</t>
  </si>
  <si>
    <t xml:space="preserve">Evelyn Olivera </t>
  </si>
  <si>
    <t>Pitiriasis Niquenoide cronica (piel)</t>
  </si>
  <si>
    <t>Ismael Briceño 1555, Block 21. Dpto 17</t>
  </si>
  <si>
    <t>Quinto6</t>
  </si>
  <si>
    <t>Asheley Briceño Sequera</t>
  </si>
  <si>
    <t>26825252-5</t>
  </si>
  <si>
    <t xml:space="preserve">Enmaly Sequera </t>
  </si>
  <si>
    <t>Pedro Riveros 1583, Ed Arrayan Depto 410</t>
  </si>
  <si>
    <t>Quinto7</t>
  </si>
  <si>
    <t xml:space="preserve">Keysi Contreras Ahumada </t>
  </si>
  <si>
    <t>24445928-5</t>
  </si>
  <si>
    <t xml:space="preserve">Patricia Navia </t>
  </si>
  <si>
    <t xml:space="preserve">Transplantada de higado </t>
  </si>
  <si>
    <t>Pedro Riveros 1500, Block A, Depto 41</t>
  </si>
  <si>
    <t>Quinto8</t>
  </si>
  <si>
    <t xml:space="preserve">Felipe Correa Cortes </t>
  </si>
  <si>
    <t>24692884-3</t>
  </si>
  <si>
    <t>Pedro Riveros 1583, Ed Lite, Depto 206</t>
  </si>
  <si>
    <t>Quinto9</t>
  </si>
  <si>
    <t xml:space="preserve">Miranda Corzo Arenas </t>
  </si>
  <si>
    <t>26545038-5</t>
  </si>
  <si>
    <t xml:space="preserve">Nelli Arenas </t>
  </si>
  <si>
    <t>Av Las Torres 250, Casa 46, Condominio portada del valle</t>
  </si>
  <si>
    <t>Quinto10</t>
  </si>
  <si>
    <t xml:space="preserve">Daniela Curipan Antinao </t>
  </si>
  <si>
    <t>25050321-0</t>
  </si>
  <si>
    <t xml:space="preserve">Ambrosio Curipan </t>
  </si>
  <si>
    <t xml:space="preserve">Alcalde Juan Larenas, 301 Ed Laurel, Depto 418 </t>
  </si>
  <si>
    <t>Quinto11</t>
  </si>
  <si>
    <t xml:space="preserve">Agustin Donoso Hermosilla </t>
  </si>
  <si>
    <t>24998289-k</t>
  </si>
  <si>
    <t xml:space="preserve">Estefania Hermosilla </t>
  </si>
  <si>
    <t>Ismael Briceño 1501, Torre D. Depto 41</t>
  </si>
  <si>
    <t>Quinto12</t>
  </si>
  <si>
    <t xml:space="preserve">Keylin Faune Bravo </t>
  </si>
  <si>
    <t>25313801-7</t>
  </si>
  <si>
    <t>Quinto13</t>
  </si>
  <si>
    <t>Fabianna Flores Carmona</t>
  </si>
  <si>
    <t>100513911-9</t>
  </si>
  <si>
    <t xml:space="preserve">Michael Carmona </t>
  </si>
  <si>
    <t>Alcalde Juan Larenas 185, Torre F, Depto 321</t>
  </si>
  <si>
    <t>Quinto14</t>
  </si>
  <si>
    <t xml:space="preserve">Aaron Luengo Camilla </t>
  </si>
  <si>
    <t>25263020-1</t>
  </si>
  <si>
    <t xml:space="preserve">Juan Luengo </t>
  </si>
  <si>
    <t>Avda Pedro Riveros 1583, Depto 106, Torre Anayan</t>
  </si>
  <si>
    <t>Quinto15</t>
  </si>
  <si>
    <t>Cesar Marin Ruiz</t>
  </si>
  <si>
    <t>25175190-0</t>
  </si>
  <si>
    <t xml:space="preserve">Adela Aguilar </t>
  </si>
  <si>
    <t xml:space="preserve">Rio Loa 802, Block 20, Depto 11 </t>
  </si>
  <si>
    <t>Quinto16</t>
  </si>
  <si>
    <t xml:space="preserve">Julian Montaño Hurtado </t>
  </si>
  <si>
    <t>28476435-8</t>
  </si>
  <si>
    <t xml:space="preserve">Sailin Hurtado </t>
  </si>
  <si>
    <t>Pedro Riveros 1501, Torre A, Depto 304</t>
  </si>
  <si>
    <t>Quinto17</t>
  </si>
  <si>
    <t xml:space="preserve">Ian Navarro Sequera </t>
  </si>
  <si>
    <t>26918685-2</t>
  </si>
  <si>
    <t xml:space="preserve">Eilyn Sequera </t>
  </si>
  <si>
    <t>Pedro Riveros 1583, Ed Litio, Depto 119</t>
  </si>
  <si>
    <t>Quinto18</t>
  </si>
  <si>
    <t>Salome Penagos Useche</t>
  </si>
  <si>
    <t>25065435-9</t>
  </si>
  <si>
    <t xml:space="preserve">Maria Useche </t>
  </si>
  <si>
    <t xml:space="preserve">Rinitis alergica </t>
  </si>
  <si>
    <t>Pedro Riveros 1583, Ed Araucaria, Depto 108</t>
  </si>
  <si>
    <t>Quinto19</t>
  </si>
  <si>
    <t xml:space="preserve">Max Perez Perez </t>
  </si>
  <si>
    <t>24848297-4</t>
  </si>
  <si>
    <t xml:space="preserve">Thiare Perez </t>
  </si>
  <si>
    <t>Pedro Riveros 1530, Torre C, Depto 47</t>
  </si>
  <si>
    <t>Quinto20</t>
  </si>
  <si>
    <t xml:space="preserve">Ricardo Pierre </t>
  </si>
  <si>
    <t xml:space="preserve"> 26093775-8</t>
  </si>
  <si>
    <t xml:space="preserve">Mariela Alfonce </t>
  </si>
  <si>
    <t xml:space="preserve">Calle Uno Block 10 Depto </t>
  </si>
  <si>
    <t>Quinto21</t>
  </si>
  <si>
    <t xml:space="preserve">Tomas Pineda Ramos </t>
  </si>
  <si>
    <t>25080318-4</t>
  </si>
  <si>
    <t xml:space="preserve">Nicole Ramos </t>
  </si>
  <si>
    <t>Pedro Riveros 1500, Torre F Depto 44</t>
  </si>
  <si>
    <t>Quinto22</t>
  </si>
  <si>
    <t>Mathias Ramirez Cedeño</t>
  </si>
  <si>
    <t>29022560-4</t>
  </si>
  <si>
    <t xml:space="preserve">Yeniffer Cedeño </t>
  </si>
  <si>
    <t>Pedro Riveros 1562, Block 12. Depto 38</t>
  </si>
  <si>
    <t>Quinto23</t>
  </si>
  <si>
    <t xml:space="preserve">Nerwin Salazar Villalba </t>
  </si>
  <si>
    <t>100785167-3</t>
  </si>
  <si>
    <t>Calle Uno Block 8, Depto 24</t>
  </si>
  <si>
    <t>Quinto24</t>
  </si>
  <si>
    <t xml:space="preserve">Louisdinia Simphard Simphard </t>
  </si>
  <si>
    <t>25037983-8</t>
  </si>
  <si>
    <t>Pedro Riveros 1583, Ed Canelo Depto 305</t>
  </si>
  <si>
    <t>Quinto25</t>
  </si>
  <si>
    <t xml:space="preserve">Angel Soto Fernandez </t>
  </si>
  <si>
    <t>25296466-5</t>
  </si>
  <si>
    <t xml:space="preserve">Camila Fernandez </t>
  </si>
  <si>
    <t>Pedro Riveros 1490, Torre E, Depto 42</t>
  </si>
  <si>
    <t>Quinto26</t>
  </si>
  <si>
    <t xml:space="preserve">Constanza Torres Vargas </t>
  </si>
  <si>
    <t>25186913-8</t>
  </si>
  <si>
    <t xml:space="preserve">Daniela Vargas </t>
  </si>
  <si>
    <t>Pedro Riveros 1550, Block 8, Depto 34</t>
  </si>
  <si>
    <t>Quinto27</t>
  </si>
  <si>
    <t xml:space="preserve">Ayelen Valdes Plaza </t>
  </si>
  <si>
    <t>25092118-7</t>
  </si>
  <si>
    <t xml:space="preserve">Ana Plaza </t>
  </si>
  <si>
    <t>Pedro Riveros 1500, Depto G-22</t>
  </si>
  <si>
    <t>Quinto28</t>
  </si>
  <si>
    <t xml:space="preserve">Matias Valenzuela Urtubia </t>
  </si>
  <si>
    <t>25221491-7</t>
  </si>
  <si>
    <t>Maria Urtubia</t>
  </si>
  <si>
    <t>Pedro Riveros 1501, Torre C, Depto 512</t>
  </si>
  <si>
    <t>Sexto1</t>
  </si>
  <si>
    <t xml:space="preserve">Estefania Acevedo Medina </t>
  </si>
  <si>
    <t>24746598-7</t>
  </si>
  <si>
    <t>Sexto</t>
  </si>
  <si>
    <t xml:space="preserve">Carolina Medina </t>
  </si>
  <si>
    <t>Psje Dos 1551 Block 8, Depto 17</t>
  </si>
  <si>
    <t>Sexto2</t>
  </si>
  <si>
    <t xml:space="preserve">Catalina Aguilar Collio </t>
  </si>
  <si>
    <t>24759369-1</t>
  </si>
  <si>
    <t xml:space="preserve">Daniela Collio </t>
  </si>
  <si>
    <t>Pedro Riveros 1500 Block G, Depto 47</t>
  </si>
  <si>
    <t>Sexto3</t>
  </si>
  <si>
    <t xml:space="preserve">Angel Arriagada Peña </t>
  </si>
  <si>
    <t>24683081-9</t>
  </si>
  <si>
    <t>Antonieta Peña</t>
  </si>
  <si>
    <t>Pedro Riveros 1530 Torre G, Depto 41</t>
  </si>
  <si>
    <t>Sexto4</t>
  </si>
  <si>
    <t xml:space="preserve">Amanda Astete Reyes </t>
  </si>
  <si>
    <t>24702587-1</t>
  </si>
  <si>
    <t xml:space="preserve">Daniela Reyes </t>
  </si>
  <si>
    <t>Sexto5</t>
  </si>
  <si>
    <t xml:space="preserve">Matias Cantillana Liempan </t>
  </si>
  <si>
    <t>24688554-0</t>
  </si>
  <si>
    <t>Pedro Riveros 1481 Torre G, Depto 612</t>
  </si>
  <si>
    <t>Sexto6</t>
  </si>
  <si>
    <t xml:space="preserve">Yormarys Cardenas Camacho </t>
  </si>
  <si>
    <t>100547166-0</t>
  </si>
  <si>
    <t>Sexto7</t>
  </si>
  <si>
    <t xml:space="preserve">Emilgher Castellano </t>
  </si>
  <si>
    <t>100831794-8</t>
  </si>
  <si>
    <t xml:space="preserve">Martha Molina </t>
  </si>
  <si>
    <t>Pedro Riveros Block 11, Depto 33</t>
  </si>
  <si>
    <t>Sexto8</t>
  </si>
  <si>
    <t xml:space="preserve">Stefano Concha Morales </t>
  </si>
  <si>
    <t>24618396-1</t>
  </si>
  <si>
    <t xml:space="preserve">Catalina Morales </t>
  </si>
  <si>
    <t>Pedro Riveros 1480, Torre B, Depto 14</t>
  </si>
  <si>
    <t>Sexto9</t>
  </si>
  <si>
    <t>Jonniel Contreras Gutierrez</t>
  </si>
  <si>
    <t>25493932-3</t>
  </si>
  <si>
    <t>Yleny Gutierrez</t>
  </si>
  <si>
    <t>Pedro Riveros 1501, Torre A, Depto 201</t>
  </si>
  <si>
    <t>Sexto10</t>
  </si>
  <si>
    <t xml:space="preserve">Damian Figueroa Berrios </t>
  </si>
  <si>
    <t>24644489-7</t>
  </si>
  <si>
    <t xml:space="preserve">Daniela Berrios </t>
  </si>
  <si>
    <t>Pedro Riveros 1500, Block F, Depto 45</t>
  </si>
  <si>
    <t>Sexto11</t>
  </si>
  <si>
    <t xml:space="preserve">Mario Fuentes Molina </t>
  </si>
  <si>
    <t>100831802-2</t>
  </si>
  <si>
    <t>Sexto12</t>
  </si>
  <si>
    <t xml:space="preserve">Angela Gonzalez Cheng </t>
  </si>
  <si>
    <t>100625286-5</t>
  </si>
  <si>
    <t xml:space="preserve">Yohana Cheng </t>
  </si>
  <si>
    <t xml:space="preserve">Estadio Quilicura 107, Los Adobes </t>
  </si>
  <si>
    <t>Sexto13</t>
  </si>
  <si>
    <t>Noel Gonzalez Rivero</t>
  </si>
  <si>
    <t>28825428-1</t>
  </si>
  <si>
    <t>Rusmay Rivero</t>
  </si>
  <si>
    <t>Pedro Riveros 1521, Torre F, Depto 524</t>
  </si>
  <si>
    <t>Sexto14</t>
  </si>
  <si>
    <t xml:space="preserve">Hernan Herrera Ochoa </t>
  </si>
  <si>
    <t>27581898-4</t>
  </si>
  <si>
    <t xml:space="preserve">Milangela Ochoa </t>
  </si>
  <si>
    <t>Ismael Briceño 1580, Casa 25</t>
  </si>
  <si>
    <t>Sexto15</t>
  </si>
  <si>
    <t xml:space="preserve">Malaicka Jocelyn </t>
  </si>
  <si>
    <t>25874027-0</t>
  </si>
  <si>
    <t>Landy Cherismond</t>
  </si>
  <si>
    <t>Pedro Riveros 1554, Block 11, Depto 13</t>
  </si>
  <si>
    <t>Sexto16</t>
  </si>
  <si>
    <t>Lourdermie Loreus</t>
  </si>
  <si>
    <t>28481936-5</t>
  </si>
  <si>
    <t>Mirlourdes Loreus</t>
  </si>
  <si>
    <t>Calle Uno 225, Block 7, Depto 37</t>
  </si>
  <si>
    <t>Sexto17</t>
  </si>
  <si>
    <t xml:space="preserve">Samanta Manay Vega </t>
  </si>
  <si>
    <t>24831773-6</t>
  </si>
  <si>
    <t xml:space="preserve">Paola Vega </t>
  </si>
  <si>
    <t>Cardiopata</t>
  </si>
  <si>
    <t>Alcande Juan Larenas 301, Laurel 403</t>
  </si>
  <si>
    <t>Sexto18</t>
  </si>
  <si>
    <t xml:space="preserve">Albany Moncada Andueza </t>
  </si>
  <si>
    <t>26543188-7</t>
  </si>
  <si>
    <t xml:space="preserve">Marlin Andueza </t>
  </si>
  <si>
    <t>Alcalde Juan Larenas 185, Torre F, Depto 423</t>
  </si>
  <si>
    <t>Sexto19</t>
  </si>
  <si>
    <t xml:space="preserve">Saray Montes Jansasoy </t>
  </si>
  <si>
    <t>100706075-7</t>
  </si>
  <si>
    <t>Leidy Jansasoy</t>
  </si>
  <si>
    <t xml:space="preserve">Renitis </t>
  </si>
  <si>
    <t>Ismael Briceño 1550, Block 1, Depto 15</t>
  </si>
  <si>
    <t>Sexto20</t>
  </si>
  <si>
    <t xml:space="preserve">Maite Morales Olea </t>
  </si>
  <si>
    <t>23645320-0</t>
  </si>
  <si>
    <t xml:space="preserve">Jessica Olea </t>
  </si>
  <si>
    <t>Pedro Riveros 1500, Torre F, Depto 22 San Carlos 1</t>
  </si>
  <si>
    <t>Sexto21</t>
  </si>
  <si>
    <t xml:space="preserve">Gaspar Mulato Leon </t>
  </si>
  <si>
    <t>24866903-9</t>
  </si>
  <si>
    <t xml:space="preserve">Janis Leon </t>
  </si>
  <si>
    <t>Calle Uno 225, bBlock 7, Depto 14</t>
  </si>
  <si>
    <t>Sexto22</t>
  </si>
  <si>
    <t xml:space="preserve">Chaelle Pierre-Louis </t>
  </si>
  <si>
    <t>28873135-7</t>
  </si>
  <si>
    <t xml:space="preserve">Yves Pierre </t>
  </si>
  <si>
    <t>Calle Uno Block 10, Depto 26</t>
  </si>
  <si>
    <t>Sexto23</t>
  </si>
  <si>
    <t xml:space="preserve">Valeria Poblete Marianjel </t>
  </si>
  <si>
    <t>24798339-2</t>
  </si>
  <si>
    <t>Tabita Marianjel</t>
  </si>
  <si>
    <t>Pedro Riveros 1583, Ed  Avellano, Depto 112</t>
  </si>
  <si>
    <t>Sexto24</t>
  </si>
  <si>
    <t xml:space="preserve">Felix Porras Mas Y Rubi </t>
  </si>
  <si>
    <t>29019490-3</t>
  </si>
  <si>
    <t xml:space="preserve">Sandra Mas y Rubi </t>
  </si>
  <si>
    <t>Juan Larenas Torre D, Depto 216</t>
  </si>
  <si>
    <t>Sexto25</t>
  </si>
  <si>
    <t xml:space="preserve">Angel Rojas Padilla </t>
  </si>
  <si>
    <t>24312979-6</t>
  </si>
  <si>
    <t>Sexto26</t>
  </si>
  <si>
    <t xml:space="preserve">Mateo Rojas Sandoval </t>
  </si>
  <si>
    <t>24673276-0</t>
  </si>
  <si>
    <t xml:space="preserve">Paola Sandoval </t>
  </si>
  <si>
    <t>Pedro Riveros 1500, Block C, Depto 48</t>
  </si>
  <si>
    <t>Sexto27</t>
  </si>
  <si>
    <t xml:space="preserve">Julieta Sanhueza Leyton </t>
  </si>
  <si>
    <t>24752520-3</t>
  </si>
  <si>
    <t>Sexto28</t>
  </si>
  <si>
    <t xml:space="preserve">Brayner Semprun Duran </t>
  </si>
  <si>
    <t>27965539-7</t>
  </si>
  <si>
    <t xml:space="preserve">Alexandra Duran </t>
  </si>
  <si>
    <t xml:space="preserve">Hipo Acusio Derecho y 3 Riñones </t>
  </si>
  <si>
    <t>Ismael Briceño 1555, Block 22, Depto 18</t>
  </si>
  <si>
    <t>Sexto29</t>
  </si>
  <si>
    <t xml:space="preserve">Cristobal Troncoso Garrido </t>
  </si>
  <si>
    <t>23932898-9</t>
  </si>
  <si>
    <t xml:space="preserve">Marcela Garrido </t>
  </si>
  <si>
    <t xml:space="preserve">Asma Bronquial y escoliosis </t>
  </si>
  <si>
    <t>Pedro Riveros 1583, Ed Cipres, Depto 118</t>
  </si>
  <si>
    <t>Sexto30</t>
  </si>
  <si>
    <t xml:space="preserve">Santiago Yrausquin Cossi </t>
  </si>
  <si>
    <t>27766254-k</t>
  </si>
  <si>
    <t xml:space="preserve">Liliana Cossi </t>
  </si>
  <si>
    <t>Pedro Riveros 1583, Ed Laurel, Depto 211</t>
  </si>
  <si>
    <t>Septimo1</t>
  </si>
  <si>
    <t xml:space="preserve">Evanyelina Acevedo Carcamo </t>
  </si>
  <si>
    <t>24138205-2</t>
  </si>
  <si>
    <t>Septimo</t>
  </si>
  <si>
    <t xml:space="preserve">Sin telefono </t>
  </si>
  <si>
    <t>Pedro Riveros 1521, Casa 115 A</t>
  </si>
  <si>
    <t>Septimo2</t>
  </si>
  <si>
    <t>Lucas Arellano Cifuentes</t>
  </si>
  <si>
    <t>24360697-7</t>
  </si>
  <si>
    <t>Claudia Cifuentes</t>
  </si>
  <si>
    <t>Avda Lo Marcoleta 0330</t>
  </si>
  <si>
    <t>Septimo3</t>
  </si>
  <si>
    <t xml:space="preserve">Cristopher Barahona Carreño </t>
  </si>
  <si>
    <t>24483316-0</t>
  </si>
  <si>
    <t xml:space="preserve">Nicole Zuñiga </t>
  </si>
  <si>
    <t>Pje Rio Lluta Block 15, Depto 17</t>
  </si>
  <si>
    <t>Septimo4</t>
  </si>
  <si>
    <t xml:space="preserve">Paula Bolaños Gavidia </t>
  </si>
  <si>
    <t>100649823-6</t>
  </si>
  <si>
    <t>Karen Gavidia</t>
  </si>
  <si>
    <t>Pedro Riveros 1540, Block 14, Depto 22</t>
  </si>
  <si>
    <t>Septimo5</t>
  </si>
  <si>
    <t xml:space="preserve">Victoria Cacharuco Ceballos </t>
  </si>
  <si>
    <t>27209426-8</t>
  </si>
  <si>
    <t xml:space="preserve">Bianca Ceballos </t>
  </si>
  <si>
    <t xml:space="preserve">Pedro Riveros 1583, Ed Boldo Depto 401 </t>
  </si>
  <si>
    <t>Septimo6</t>
  </si>
  <si>
    <t xml:space="preserve">Diego Castro Arrieta </t>
  </si>
  <si>
    <t>27202937-7</t>
  </si>
  <si>
    <t xml:space="preserve">Dianis Arrieta </t>
  </si>
  <si>
    <t>Pje Toreon 3, Casa 1573, Lo Campino</t>
  </si>
  <si>
    <t>Septimo7</t>
  </si>
  <si>
    <t>Agustin Dayne Antinao</t>
  </si>
  <si>
    <t>24331497-6</t>
  </si>
  <si>
    <t xml:space="preserve">Pedro Riveros 1583, Ed Algarrobo, Depto 412 </t>
  </si>
  <si>
    <t>Septimo8</t>
  </si>
  <si>
    <t xml:space="preserve">Nehemie Destin </t>
  </si>
  <si>
    <t>27793711-5</t>
  </si>
  <si>
    <t xml:space="preserve">Kenel Destin </t>
  </si>
  <si>
    <t>Pedro Riveros 1583, Ed Algarrobo, Depto 111</t>
  </si>
  <si>
    <t>Septimo9</t>
  </si>
  <si>
    <t xml:space="preserve">Marianyelis Fuentes Molina </t>
  </si>
  <si>
    <t>100831801-4</t>
  </si>
  <si>
    <t>Septimo10</t>
  </si>
  <si>
    <t xml:space="preserve">Martina Fuentes Salazar </t>
  </si>
  <si>
    <t>24551773-4</t>
  </si>
  <si>
    <t>Nataly Salazar</t>
  </si>
  <si>
    <t>Alcalde Juan Larenas 185, Torre M, Depto 449</t>
  </si>
  <si>
    <t>Septimo11</t>
  </si>
  <si>
    <t xml:space="preserve">Amanda Garcia Oliva </t>
  </si>
  <si>
    <t>24327617-9</t>
  </si>
  <si>
    <t xml:space="preserve">Valeska Oliva </t>
  </si>
  <si>
    <t>Pedro Riveros 1431, Torre 14, Depto 1454</t>
  </si>
  <si>
    <t>Septimo12</t>
  </si>
  <si>
    <t xml:space="preserve">Johanna Hernandez Guarache </t>
  </si>
  <si>
    <t>100584057-7</t>
  </si>
  <si>
    <t xml:space="preserve">Ediliana Guarache </t>
  </si>
  <si>
    <t>Ismael Briceño 1491, Torre F. Depto 41</t>
  </si>
  <si>
    <t>Septimo13</t>
  </si>
  <si>
    <t>Steph Jn Francois</t>
  </si>
  <si>
    <t>28403697-2</t>
  </si>
  <si>
    <t xml:space="preserve">Mikerne Caprice </t>
  </si>
  <si>
    <t>Calle Uno Block 16, Depto 14</t>
  </si>
  <si>
    <t>Septimo14</t>
  </si>
  <si>
    <t xml:space="preserve">Mateo Machuca Rocha </t>
  </si>
  <si>
    <t>24498801-6</t>
  </si>
  <si>
    <t xml:space="preserve">Carolina Rocha </t>
  </si>
  <si>
    <t>Pedro Riveros 1530, Torre E, Depto 21</t>
  </si>
  <si>
    <t>Septimo15</t>
  </si>
  <si>
    <t xml:space="preserve">Jazmin Morales Bastias </t>
  </si>
  <si>
    <t>24351580-7</t>
  </si>
  <si>
    <t xml:space="preserve">Araceli Bastias </t>
  </si>
  <si>
    <t>Calle Uno 209, Villa Pucara Block 3, Depto 25</t>
  </si>
  <si>
    <t>Septimo16</t>
  </si>
  <si>
    <t xml:space="preserve">Yanara Moya Zuñiga </t>
  </si>
  <si>
    <t>24330345-1</t>
  </si>
  <si>
    <t>Rio Lluta Block 15, Depto 17</t>
  </si>
  <si>
    <t>Septimo17</t>
  </si>
  <si>
    <t xml:space="preserve">Victor Ortiz Coloma </t>
  </si>
  <si>
    <t>24251657-5</t>
  </si>
  <si>
    <t xml:space="preserve">Paola Coloma </t>
  </si>
  <si>
    <t>Pedro Riveros 1530 Torre D, Depto 43</t>
  </si>
  <si>
    <t>Septimo18</t>
  </si>
  <si>
    <t xml:space="preserve">Francisco Peralta Bravo </t>
  </si>
  <si>
    <t>24394003-6</t>
  </si>
  <si>
    <t xml:space="preserve">Carolina Bravo </t>
  </si>
  <si>
    <t>Calle Uno Pje Dos, Block 16, Depto 32</t>
  </si>
  <si>
    <t>Septimo19</t>
  </si>
  <si>
    <t>Yendelain Poblete Marianjel</t>
  </si>
  <si>
    <t>24183472-7</t>
  </si>
  <si>
    <t>Pedro Riveros 1583, Ed Avellano Depto 112</t>
  </si>
  <si>
    <t>Septimo20</t>
  </si>
  <si>
    <t xml:space="preserve">Marcus Puissance Puissance </t>
  </si>
  <si>
    <t>24414536-1</t>
  </si>
  <si>
    <t>Camis Puissance</t>
  </si>
  <si>
    <t>Pedro Riveros 1583, Ed Avellano Depto 204</t>
  </si>
  <si>
    <t>Septimo21</t>
  </si>
  <si>
    <t>Jeremy Rivas Hermosilla</t>
  </si>
  <si>
    <t>24056365-7</t>
  </si>
  <si>
    <t>Ismael Briceño 1501, Torre D Depton41</t>
  </si>
  <si>
    <t>Septimo22</t>
  </si>
  <si>
    <t xml:space="preserve">Antonia Rivera Quijada </t>
  </si>
  <si>
    <t>24067914-0</t>
  </si>
  <si>
    <t xml:space="preserve">Angelica Quijada </t>
  </si>
  <si>
    <t>Pedro Riveros 1530, Torre B, Depto 45</t>
  </si>
  <si>
    <t>Septimo23</t>
  </si>
  <si>
    <t xml:space="preserve">Juan Salazar Chica </t>
  </si>
  <si>
    <t>100683143-1</t>
  </si>
  <si>
    <t>Stephania Chica</t>
  </si>
  <si>
    <t>Pedro Riveros 1480, Torre F, Depto 34</t>
  </si>
  <si>
    <t>Septimo24</t>
  </si>
  <si>
    <t>100683160-1</t>
  </si>
  <si>
    <t>Septimo25</t>
  </si>
  <si>
    <t xml:space="preserve">Bryhana Smith Ormeño </t>
  </si>
  <si>
    <t>28768784-2</t>
  </si>
  <si>
    <t>Cynthia Ormeño</t>
  </si>
  <si>
    <t>Pedro Riveros 1583, Ed Algarrabo Depto 416</t>
  </si>
  <si>
    <t>Septimo26</t>
  </si>
  <si>
    <t xml:space="preserve">Lukas Vergara Salinas </t>
  </si>
  <si>
    <t>24337498-7</t>
  </si>
  <si>
    <t xml:space="preserve">Maritza Salinas </t>
  </si>
  <si>
    <t>Pedro Riveros 1551, Block 8, Depto 36</t>
  </si>
  <si>
    <t>Septimo27</t>
  </si>
  <si>
    <t xml:space="preserve">Camille Volmas </t>
  </si>
  <si>
    <t>28115311-0</t>
  </si>
  <si>
    <t xml:space="preserve">Edelene Jean Baptiste </t>
  </si>
  <si>
    <t>Ismael Briceño Block 12, Depto 12</t>
  </si>
  <si>
    <t>Octavo1</t>
  </si>
  <si>
    <t xml:space="preserve">Saif Almilhem </t>
  </si>
  <si>
    <t>24931747-0</t>
  </si>
  <si>
    <t>Octavo</t>
  </si>
  <si>
    <t xml:space="preserve">Sali Eldaas </t>
  </si>
  <si>
    <t>Pedro Riveros 1583, Ed Algarrobo Depto, 106</t>
  </si>
  <si>
    <t>Octavo2</t>
  </si>
  <si>
    <t xml:space="preserve">Jonathan Amigo Leiva </t>
  </si>
  <si>
    <t>24154655-1</t>
  </si>
  <si>
    <t xml:space="preserve">Juana Leiva </t>
  </si>
  <si>
    <t>Pedro Riveros Block 14, Depto 18</t>
  </si>
  <si>
    <t>Octavo3</t>
  </si>
  <si>
    <t>Paula Bastardo Tali</t>
  </si>
  <si>
    <t>27756002-k</t>
  </si>
  <si>
    <t xml:space="preserve">Angelina Tali </t>
  </si>
  <si>
    <t>Pedro Riveros 1481, Depto 422, Torre 4</t>
  </si>
  <si>
    <t>Octavo4</t>
  </si>
  <si>
    <t xml:space="preserve">Maximo Bueno Guerra </t>
  </si>
  <si>
    <t>23945289-9</t>
  </si>
  <si>
    <t xml:space="preserve">Magdalena Guerra </t>
  </si>
  <si>
    <t xml:space="preserve">Los pinos 440, Lampa </t>
  </si>
  <si>
    <t>Octavo5</t>
  </si>
  <si>
    <t xml:space="preserve">Guiancarlo Castillo Julea </t>
  </si>
  <si>
    <t>24107296-7</t>
  </si>
  <si>
    <t>Octavo6</t>
  </si>
  <si>
    <t xml:space="preserve">Leonardo Corzo Arenas </t>
  </si>
  <si>
    <t>26545091-1</t>
  </si>
  <si>
    <t xml:space="preserve">Avda Las Torres 250, Casa 46, Cond Portada del Valle </t>
  </si>
  <si>
    <t>Octavo7</t>
  </si>
  <si>
    <t xml:space="preserve">Leandro Danilla Soto </t>
  </si>
  <si>
    <t>24009149-6</t>
  </si>
  <si>
    <t>Alcalde Juan Larena 185, Torre M Depto, 149</t>
  </si>
  <si>
    <t>Octavo8</t>
  </si>
  <si>
    <t>Lootherlina Encarnacion Chery</t>
  </si>
  <si>
    <t>28215086-7</t>
  </si>
  <si>
    <t xml:space="preserve">Katiana Chery </t>
  </si>
  <si>
    <t>Calle Uno 221, Block 6, Depto 22</t>
  </si>
  <si>
    <t>Octavo9</t>
  </si>
  <si>
    <t xml:space="preserve">Angel Fuentes Molina </t>
  </si>
  <si>
    <t>100831799-9</t>
  </si>
  <si>
    <t>Octavo10</t>
  </si>
  <si>
    <t xml:space="preserve">Thiago Garcia Acevedo </t>
  </si>
  <si>
    <t>23611212-8</t>
  </si>
  <si>
    <t xml:space="preserve">Fabian Oyarce </t>
  </si>
  <si>
    <t xml:space="preserve">Ecuador 1012 Lampa </t>
  </si>
  <si>
    <t>Octavo11</t>
  </si>
  <si>
    <t xml:space="preserve">Rose Jean Louis </t>
  </si>
  <si>
    <t>26263035-8</t>
  </si>
  <si>
    <t>Pedro Riveros 1510, Block 9, Depto 37</t>
  </si>
  <si>
    <t>Octavo12</t>
  </si>
  <si>
    <t xml:space="preserve">Mario Marileo Mena </t>
  </si>
  <si>
    <t>24023401-7</t>
  </si>
  <si>
    <t xml:space="preserve">Mitzi Mena </t>
  </si>
  <si>
    <t>Octavo13</t>
  </si>
  <si>
    <t xml:space="preserve">Katalina Marin Ruiz </t>
  </si>
  <si>
    <t>24192766-0</t>
  </si>
  <si>
    <t>Octavo14</t>
  </si>
  <si>
    <t xml:space="preserve">Sarah Meriño Caridad </t>
  </si>
  <si>
    <t>28434400-6</t>
  </si>
  <si>
    <t xml:space="preserve">Jesica Caridad </t>
  </si>
  <si>
    <t>Pedro Riveros 1583, Alto la Campiña Torre Araucaria, Depto 118</t>
  </si>
  <si>
    <t>Octavo15</t>
  </si>
  <si>
    <t xml:space="preserve">Fredyang Michand </t>
  </si>
  <si>
    <t>26397310-0</t>
  </si>
  <si>
    <t xml:space="preserve">Ferdinand Michaud </t>
  </si>
  <si>
    <t>Pedro Riveros 1583, Ed Anayan Depto 403</t>
  </si>
  <si>
    <t>Octavo16</t>
  </si>
  <si>
    <t xml:space="preserve">DJivensky Moise </t>
  </si>
  <si>
    <t>28633016-9</t>
  </si>
  <si>
    <t>Calle Una 1551, Depto 28, Pucara</t>
  </si>
  <si>
    <t>Octavo17</t>
  </si>
  <si>
    <t>Amanda Muñoz Navarro</t>
  </si>
  <si>
    <t>23978805-k</t>
  </si>
  <si>
    <t xml:space="preserve">Katherine Navarro </t>
  </si>
  <si>
    <t>Pedro Riveros 1501 A, Torre D Depto 515</t>
  </si>
  <si>
    <t>Octavo18</t>
  </si>
  <si>
    <t xml:space="preserve">Martin Noguera Araya </t>
  </si>
  <si>
    <t>24076765-1</t>
  </si>
  <si>
    <t xml:space="preserve">Estefania Araya </t>
  </si>
  <si>
    <t>Octavo19</t>
  </si>
  <si>
    <t xml:space="preserve">Dorka Nuñez Loya </t>
  </si>
  <si>
    <t>28442148-5</t>
  </si>
  <si>
    <t xml:space="preserve">Miriam Loya </t>
  </si>
  <si>
    <t>Alergias: Mariscos, Salmon, Pelos de animales.</t>
  </si>
  <si>
    <t>Octavo20</t>
  </si>
  <si>
    <t xml:space="preserve">Aron Padron Pirela </t>
  </si>
  <si>
    <t>28044406-5</t>
  </si>
  <si>
    <t xml:space="preserve">Nayzai Pirela </t>
  </si>
  <si>
    <t>Avda Las Torres, Pje 1 Casa 3</t>
  </si>
  <si>
    <t>Octavo21</t>
  </si>
  <si>
    <t>Berthamise Pierre</t>
  </si>
  <si>
    <t>26093742-1</t>
  </si>
  <si>
    <t>Callle Uno Block 10, Depto 13</t>
  </si>
  <si>
    <t>Octavo22</t>
  </si>
  <si>
    <t xml:space="preserve">Leonardo Ramirez Cuenca </t>
  </si>
  <si>
    <t>26027132-8</t>
  </si>
  <si>
    <t xml:space="preserve">Maria Cuenca </t>
  </si>
  <si>
    <t>Pedro Riveros 1583, Ed Alamo Depto 311</t>
  </si>
  <si>
    <t>Octavo23</t>
  </si>
  <si>
    <t xml:space="preserve">Luis Rodriguez Jaspe </t>
  </si>
  <si>
    <t>26338498-9</t>
  </si>
  <si>
    <t xml:space="preserve">Anais Jaspe </t>
  </si>
  <si>
    <t xml:space="preserve">Vergel 318, Valle lo Campino </t>
  </si>
  <si>
    <t>Octavo24</t>
  </si>
  <si>
    <t xml:space="preserve">Matias Rodriguez Bravo </t>
  </si>
  <si>
    <t>24031742-7</t>
  </si>
  <si>
    <t xml:space="preserve">Laura Bravo </t>
  </si>
  <si>
    <t>Pedro Riveros 1562, Block 12, Depto 18</t>
  </si>
  <si>
    <t>Octavo25</t>
  </si>
  <si>
    <t>Braulio Rojas Sandoval</t>
  </si>
  <si>
    <t>24120922-9</t>
  </si>
  <si>
    <t>Octavo26</t>
  </si>
  <si>
    <t xml:space="preserve">Fabiola Sandobal Carmona </t>
  </si>
  <si>
    <t>100513914-3</t>
  </si>
  <si>
    <t xml:space="preserve">Operación del Corazon </t>
  </si>
  <si>
    <t>Alcalde Juan Larenas 185, Torre F Depto 321</t>
  </si>
  <si>
    <t>Octavo27</t>
  </si>
  <si>
    <t>Carlos Tapia Martinez</t>
  </si>
  <si>
    <t>24191991-9</t>
  </si>
  <si>
    <t>Pedro Riveros 1530,  Torre F Depto 43</t>
  </si>
  <si>
    <t>Octavo28</t>
  </si>
  <si>
    <t xml:space="preserve">Allison Ulloa Perez </t>
  </si>
  <si>
    <t>23810702-4</t>
  </si>
  <si>
    <t xml:space="preserve">Alejandra Perez </t>
  </si>
  <si>
    <t>Pedro Riveros Block 15, Depto 28</t>
  </si>
  <si>
    <t>TipoLesion</t>
  </si>
  <si>
    <t>SiNo</t>
  </si>
  <si>
    <t>Lugar</t>
  </si>
  <si>
    <t>Golpe</t>
  </si>
  <si>
    <t>Sí</t>
  </si>
  <si>
    <t>Sala</t>
  </si>
  <si>
    <t>Corte</t>
  </si>
  <si>
    <t>No</t>
  </si>
  <si>
    <t>Patio</t>
  </si>
  <si>
    <t>Caída</t>
  </si>
  <si>
    <t>Baño</t>
  </si>
  <si>
    <t>Esguince</t>
  </si>
  <si>
    <t>Comedor</t>
  </si>
  <si>
    <t>Fractura</t>
  </si>
  <si>
    <t>Gimnasio</t>
  </si>
  <si>
    <t>Quemadura</t>
  </si>
  <si>
    <t>Pasillo</t>
  </si>
  <si>
    <t>Mareo</t>
  </si>
  <si>
    <t>Transporte</t>
  </si>
  <si>
    <t>Otro</t>
  </si>
  <si>
    <t>Formulario de accidente escolar</t>
  </si>
  <si>
    <t>Busca por RUT. La edad y datos del estudiante se traen automáticamente desde la base.</t>
  </si>
  <si>
    <t>GUARDAR
ACCIDENTE</t>
  </si>
  <si>
    <t>Fecha</t>
  </si>
  <si>
    <t>Hora</t>
  </si>
  <si>
    <t>Botón visual. Asigna la macro GuardarAccidente.</t>
  </si>
  <si>
    <t>Nombre del estudiante</t>
  </si>
  <si>
    <t>Lugar del accidente</t>
  </si>
  <si>
    <t>Descripción del accidente</t>
  </si>
  <si>
    <t>Tipo de lesión</t>
  </si>
  <si>
    <t>Primeros auxilios aplicados</t>
  </si>
  <si>
    <t>¿Requirió derivación?</t>
  </si>
  <si>
    <t>Centro de salud derivado</t>
  </si>
  <si>
    <t>¿Apoderado informado?</t>
  </si>
  <si>
    <t>Hora aviso apoderado</t>
  </si>
  <si>
    <t>Responsable del registro</t>
  </si>
  <si>
    <t>Aviso</t>
  </si>
  <si>
    <t>Debes completar RUT, lugar y descripción para guardar.</t>
  </si>
  <si>
    <t>Registro histórico de accidentes escolares</t>
  </si>
  <si>
    <t>N° Registro</t>
  </si>
  <si>
    <t>Primeros auxilios</t>
  </si>
  <si>
    <t>Responsable</t>
  </si>
  <si>
    <t>Resumen del registro</t>
  </si>
  <si>
    <t>Total de accidentes registrados</t>
  </si>
  <si>
    <t>Total con derivación</t>
  </si>
  <si>
    <t>Total sin aviso al apoderado</t>
  </si>
  <si>
    <t>Registros sin descripción</t>
  </si>
  <si>
    <t>Último N° de registro</t>
  </si>
  <si>
    <t>Estadísticas de accidentes</t>
  </si>
  <si>
    <t>Accidentes por curso</t>
  </si>
  <si>
    <t>Accidentes por tipo de lesión</t>
  </si>
  <si>
    <t>KPI</t>
  </si>
  <si>
    <t>Valor</t>
  </si>
  <si>
    <t>Cantidad</t>
  </si>
  <si>
    <t>Total registros</t>
  </si>
  <si>
    <t>FICHA INDIVIDUAL DE ACCIDENTE ESCOLAR</t>
  </si>
  <si>
    <t>N° de registro</t>
  </si>
  <si>
    <t>Código VBA listo para importar</t>
  </si>
  <si>
    <t>Este código usa el RUT del formulario para guardar el accidente.</t>
  </si>
  <si>
    <t>Option Explicit</t>
  </si>
  <si>
    <t>Sub GuardarAccidente()</t>
  </si>
  <si>
    <t xml:space="preserve">    Dim wsForm As Worksheet, wsReg As Worksheet</t>
  </si>
  <si>
    <t xml:space="preserve">    Dim nextRow As Long</t>
  </si>
  <si>
    <t xml:space="preserve">    Set wsForm = ThisWorkbook.Sheets("Formulario")</t>
  </si>
  <si>
    <t xml:space="preserve">    Set wsReg = ThisWorkbook.Sheets("Registro_Accidentes")</t>
  </si>
  <si>
    <t xml:space="preserve">    If wsForm.Range("B6").Value = "" Or wsForm.Range("B14").Value = "" Or wsForm.Range("B15").Value = "" Then</t>
  </si>
  <si>
    <t xml:space="preserve">        MsgBox "Completa RUT, lugar del accidente y descripción.", vbExclamation</t>
  </si>
  <si>
    <t xml:space="preserve">        Exit Sub</t>
  </si>
  <si>
    <t xml:space="preserve">    End If</t>
  </si>
  <si>
    <t xml:space="preserve">    nextRow = wsReg.Cells(wsReg.Rows.Count, "D").End(xlUp).Row + 1</t>
  </si>
  <si>
    <t xml:space="preserve">    If nextRow &lt; 4 Then nextRow = 4</t>
  </si>
  <si>
    <t xml:space="preserve">    wsReg.Cells(nextRow, "B").Value = wsForm.Range("B4").Value</t>
  </si>
  <si>
    <t xml:space="preserve">    wsReg.Cells(nextRow, "C").Value = wsForm.Range("B5").Value</t>
  </si>
  <si>
    <t xml:space="preserve">    wsReg.Cells(nextRow, "D").Value = wsForm.Range("B6").Value</t>
  </si>
  <si>
    <t xml:space="preserve">    wsReg.Cells(nextRow, "K").Value = wsForm.Range("B14").Value</t>
  </si>
  <si>
    <t xml:space="preserve">    wsReg.Cells(nextRow, "L").Value = wsForm.Range("B15").Value</t>
  </si>
  <si>
    <t xml:space="preserve">    wsReg.Cells(nextRow, "M").Value = wsForm.Range("B16").Value</t>
  </si>
  <si>
    <t xml:space="preserve">    wsReg.Cells(nextRow, "N").Value = wsForm.Range("B17").Value</t>
  </si>
  <si>
    <t xml:space="preserve">    wsReg.Cells(nextRow, "O").Value = wsForm.Range("B18").Value</t>
  </si>
  <si>
    <t xml:space="preserve">    wsReg.Cells(nextRow, "P").Value = wsForm.Range("B19").Value</t>
  </si>
  <si>
    <t xml:space="preserve">    wsReg.Cells(nextRow, "Q").Value = wsForm.Range("B20").Value</t>
  </si>
  <si>
    <t xml:space="preserve">    wsReg.Cells(nextRow, "R").Value = wsForm.Range("B21").Value</t>
  </si>
  <si>
    <t xml:space="preserve">    wsReg.Cells(nextRow, "S").Value = wsForm.Range("B22").Value</t>
  </si>
  <si>
    <t xml:space="preserve">    wsReg.Cells(nextRow, "T").Value = wsForm.Range("B23").Value</t>
  </si>
  <si>
    <t xml:space="preserve">    wsForm.Range("B14,B15,B16,B17,B18,B19,B20,B21,B22,B23").ClearContents</t>
  </si>
  <si>
    <t xml:space="preserve">    wsForm.Range("B4").Value = Date</t>
  </si>
  <si>
    <t xml:space="preserve">    wsForm.Range("B5").Value = Time</t>
  </si>
  <si>
    <t xml:space="preserve">    MsgBox "Accidente guardado correctamente.", vbInformation</t>
  </si>
  <si>
    <t>End Sub</t>
  </si>
  <si>
    <t>Tipo de lesion</t>
  </si>
  <si>
    <t>Curso con mas accidentes</t>
  </si>
  <si>
    <t>Tipo de lesion mas frecuente</t>
  </si>
  <si>
    <t>Caida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</si>
</sst>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/m/yyyy"/>
    <numFmt numFmtId="165" formatCode="hh:mm"/>
  </numFmts>
  <fonts count="16">
    <font>
      <sz val="11"/>
      <color theme="1"/>
      <name val="Calibri"/>
      <scheme val="minor"/>
    </font>
    <font>
      <b/>
      <sz val="16"/>
      <color rgb="FF1F4E78"/>
      <name val="Calibri"/>
    </font>
    <font>
      <sz val="11"/>
      <color theme="1"/>
      <name val="Calibri"/>
    </font>
    <font>
      <b/>
      <sz val="14"/>
      <color rgb="FF1F4E78"/>
      <name val="Calibri"/>
    </font>
    <font>
      <b/>
      <sz val="11"/>
      <color rgb="FFFFFFFF"/>
      <name val="Calibri"/>
    </font>
    <font>
      <sz val="11"/>
      <color rgb="FF0000FF"/>
      <name val="Calibri"/>
    </font>
    <font>
      <sz val="11"/>
      <color rgb="FF008000"/>
      <name val="Calibri"/>
    </font>
    <font>
      <sz val="11"/>
      <color theme="1"/>
      <name val="Calibri"/>
      <scheme val="minor"/>
    </font>
    <font>
      <b/>
      <sz val="15"/>
      <color rgb="FF1F4E78"/>
      <name val="Calibri"/>
    </font>
    <font>
      <i/>
      <sz val="11"/>
      <color rgb="FF666666"/>
      <name val="Calibri"/>
    </font>
    <font>
      <b/>
      <sz val="14"/>
      <color rgb="FFFFFFFF"/>
      <name val="Calibri"/>
    </font>
    <font>
      <sz val="11"/>
      <name val="Calibri"/>
    </font>
    <font>
      <b/>
      <sz val="11"/>
      <color rgb="FF1F4E78"/>
      <name val="Calibri"/>
    </font>
    <font>
      <sz val="11"/>
      <color rgb="FF000000"/>
      <name val="Calibri"/>
    </font>
    <font>
      <b/>
      <sz val="16"/>
      <color rgb="FFFFFFFF"/>
      <name val="Calibri"/>
    </font>
    <font>
      <sz val="10"/>
      <color theme="1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EAF4FF"/>
        <bgColor rgb="FFEAF4FF"/>
      </patternFill>
    </fill>
    <fill>
      <patternFill patternType="solid">
        <fgColor rgb="FFE2F0D9"/>
        <bgColor rgb="FFE2F0D9"/>
      </patternFill>
    </fill>
    <fill>
      <patternFill patternType="solid">
        <fgColor rgb="FFF4B183"/>
        <bgColor rgb="FFF4B183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</fills>
  <borders count="23">
    <border>
      <left/>
      <right/>
      <top/>
      <bottom/>
      <diagonal/>
    </border>
    <border>
      <left/>
      <right/>
      <top/>
      <bottom style="medium">
        <color rgb="FF1F4E78"/>
      </bottom>
      <diagonal/>
    </border>
    <border>
      <left style="thin">
        <color rgb="FFD0D7DE"/>
      </left>
      <right style="thin">
        <color rgb="FFD0D7DE"/>
      </right>
      <top style="thin">
        <color rgb="FFD0D7DE"/>
      </top>
      <bottom style="thin">
        <color rgb="FFD0D7DE"/>
      </bottom>
      <diagonal/>
    </border>
    <border>
      <left style="medium">
        <color rgb="FF1F4E78"/>
      </left>
      <right/>
      <top style="medium">
        <color rgb="FF1F4E78"/>
      </top>
      <bottom/>
      <diagonal/>
    </border>
    <border>
      <left/>
      <right/>
      <top style="medium">
        <color rgb="FF1F4E78"/>
      </top>
      <bottom/>
      <diagonal/>
    </border>
    <border>
      <left/>
      <right style="medium">
        <color rgb="FF1F4E78"/>
      </right>
      <top style="medium">
        <color rgb="FF1F4E78"/>
      </top>
      <bottom/>
      <diagonal/>
    </border>
    <border>
      <left style="medium">
        <color rgb="FF1F4E78"/>
      </left>
      <right/>
      <top/>
      <bottom/>
      <diagonal/>
    </border>
    <border>
      <left/>
      <right style="medium">
        <color rgb="FF1F4E78"/>
      </right>
      <top/>
      <bottom/>
      <diagonal/>
    </border>
    <border>
      <left style="medium">
        <color rgb="FF1F4E78"/>
      </left>
      <right/>
      <top/>
      <bottom style="medium">
        <color rgb="FF1F4E78"/>
      </bottom>
      <diagonal/>
    </border>
    <border>
      <left/>
      <right/>
      <top/>
      <bottom style="medium">
        <color rgb="FF1F4E78"/>
      </bottom>
      <diagonal/>
    </border>
    <border>
      <left/>
      <right style="medium">
        <color rgb="FF1F4E78"/>
      </right>
      <top/>
      <bottom style="medium">
        <color rgb="FF1F4E78"/>
      </bottom>
      <diagonal/>
    </border>
    <border>
      <left/>
      <right/>
      <top/>
      <bottom/>
      <diagonal/>
    </border>
    <border>
      <left/>
      <right/>
      <top/>
      <bottom style="medium">
        <color rgb="FF1F4E78"/>
      </bottom>
      <diagonal/>
    </border>
    <border>
      <left/>
      <right/>
      <top/>
      <bottom style="medium">
        <color rgb="FF1F4E78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0D7DE"/>
      </left>
      <right/>
      <top style="thin">
        <color rgb="FFD0D7DE"/>
      </top>
      <bottom style="thin">
        <color rgb="FFD0D7DE"/>
      </bottom>
      <diagonal/>
    </border>
    <border>
      <left/>
      <right/>
      <top style="thin">
        <color rgb="FFD0D7DE"/>
      </top>
      <bottom style="thin">
        <color rgb="FFD0D7DE"/>
      </bottom>
      <diagonal/>
    </border>
    <border>
      <left/>
      <right style="thin">
        <color rgb="FFD0D7DE"/>
      </right>
      <top style="thin">
        <color rgb="FFD0D7DE"/>
      </top>
      <bottom style="thin">
        <color rgb="FFD0D7DE"/>
      </bottom>
      <diagonal/>
    </border>
  </borders>
  <cellStyleXfs count="1">
    <xf numFmtId="0" fontId="0" fillId="0" borderId="0"/>
  </cellStyleXfs>
  <cellXfs count="47">
    <xf numFmtId="0" fontId="0" fillId="0" borderId="0" xfId="0" applyFont="1" applyAlignment="1"/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/>
    <xf numFmtId="0" fontId="4" fillId="2" borderId="1" xfId="0" applyFont="1" applyFill="1" applyBorder="1" applyAlignment="1">
      <alignment horizontal="center" vertical="center" wrapText="1"/>
    </xf>
    <xf numFmtId="0" fontId="5" fillId="3" borderId="2" xfId="0" applyFont="1" applyFill="1" applyBorder="1"/>
    <xf numFmtId="164" fontId="5" fillId="3" borderId="2" xfId="0" applyNumberFormat="1" applyFont="1" applyFill="1" applyBorder="1"/>
    <xf numFmtId="0" fontId="6" fillId="4" borderId="2" xfId="0" applyFont="1" applyFill="1" applyBorder="1"/>
    <xf numFmtId="164" fontId="5" fillId="3" borderId="2" xfId="0" applyNumberFormat="1" applyFont="1" applyFill="1" applyBorder="1" applyAlignment="1"/>
    <xf numFmtId="0" fontId="5" fillId="3" borderId="2" xfId="0" applyFont="1" applyFill="1" applyBorder="1" applyAlignme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2" fillId="0" borderId="0" xfId="0" applyFont="1" applyAlignment="1">
      <alignment vertical="center"/>
    </xf>
    <xf numFmtId="164" fontId="5" fillId="3" borderId="2" xfId="0" applyNumberFormat="1" applyFont="1" applyFill="1" applyBorder="1" applyAlignment="1">
      <alignment horizontal="left"/>
    </xf>
    <xf numFmtId="0" fontId="2" fillId="0" borderId="0" xfId="0" applyFont="1"/>
    <xf numFmtId="165" fontId="5" fillId="3" borderId="2" xfId="0" applyNumberFormat="1" applyFont="1" applyFill="1" applyBorder="1" applyAlignment="1">
      <alignment horizontal="left"/>
    </xf>
    <xf numFmtId="0" fontId="6" fillId="4" borderId="2" xfId="0" applyFont="1" applyFill="1" applyBorder="1" applyAlignment="1">
      <alignment horizontal="left"/>
    </xf>
    <xf numFmtId="0" fontId="2" fillId="6" borderId="11" xfId="0" applyFont="1" applyFill="1" applyBorder="1"/>
    <xf numFmtId="0" fontId="13" fillId="7" borderId="2" xfId="0" applyFont="1" applyFill="1" applyBorder="1"/>
    <xf numFmtId="165" fontId="5" fillId="3" borderId="2" xfId="0" applyNumberFormat="1" applyFont="1" applyFill="1" applyBorder="1"/>
    <xf numFmtId="164" fontId="13" fillId="7" borderId="2" xfId="0" applyNumberFormat="1" applyFont="1" applyFill="1" applyBorder="1"/>
    <xf numFmtId="165" fontId="13" fillId="7" borderId="2" xfId="0" applyNumberFormat="1" applyFont="1" applyFill="1" applyBorder="1"/>
    <xf numFmtId="0" fontId="15" fillId="0" borderId="0" xfId="0" applyFont="1"/>
    <xf numFmtId="0" fontId="10" fillId="5" borderId="3" xfId="0" applyFont="1" applyFill="1" applyBorder="1" applyAlignment="1">
      <alignment horizontal="center" vertical="center" wrapText="1"/>
    </xf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0" fillId="0" borderId="0" xfId="0" applyFont="1" applyAlignment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/>
    <xf numFmtId="0" fontId="4" fillId="2" borderId="12" xfId="0" applyFont="1" applyFill="1" applyBorder="1" applyAlignment="1">
      <alignment horizontal="center" vertical="center" wrapText="1"/>
    </xf>
    <xf numFmtId="0" fontId="11" fillId="0" borderId="13" xfId="0" applyFont="1" applyBorder="1"/>
    <xf numFmtId="0" fontId="6" fillId="4" borderId="20" xfId="0" applyFont="1" applyFill="1" applyBorder="1" applyAlignment="1">
      <alignment horizontal="left"/>
    </xf>
    <xf numFmtId="0" fontId="11" fillId="0" borderId="21" xfId="0" applyFont="1" applyBorder="1"/>
    <xf numFmtId="0" fontId="11" fillId="0" borderId="22" xfId="0" applyFont="1" applyBorder="1"/>
    <xf numFmtId="165" fontId="13" fillId="7" borderId="20" xfId="0" applyNumberFormat="1" applyFont="1" applyFill="1" applyBorder="1"/>
    <xf numFmtId="0" fontId="13" fillId="7" borderId="20" xfId="0" applyFont="1" applyFill="1" applyBorder="1"/>
    <xf numFmtId="0" fontId="14" fillId="2" borderId="14" xfId="0" applyFont="1" applyFill="1" applyBorder="1" applyAlignment="1">
      <alignment horizontal="center" vertical="center"/>
    </xf>
    <xf numFmtId="0" fontId="11" fillId="0" borderId="15" xfId="0" applyFont="1" applyBorder="1"/>
    <xf numFmtId="0" fontId="11" fillId="0" borderId="16" xfId="0" applyFont="1" applyBorder="1"/>
    <xf numFmtId="0" fontId="11" fillId="0" borderId="17" xfId="0" applyFont="1" applyBorder="1"/>
    <xf numFmtId="0" fontId="11" fillId="0" borderId="18" xfId="0" applyFont="1" applyBorder="1"/>
    <xf numFmtId="0" fontId="11" fillId="0" borderId="19" xfId="0" applyFont="1" applyBorder="1"/>
    <xf numFmtId="0" fontId="6" fillId="4" borderId="20" xfId="0" applyFont="1" applyFill="1" applyBorder="1"/>
  </cellXfs>
  <cellStyles count="1">
    <cellStyle name="Normal" xfId="0" builtinId="0"/>
  </cellStyles>
  <dxfs count="1">
    <dxf>
      <fill>
        <patternFill patternType="solid">
          <fgColor rgb="FFFDE9E7"/>
          <bgColor rgb="FFFDE9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57150</xdr:colOff>
      <xdr:row>5</xdr:row>
      <xdr:rowOff>123825</xdr:rowOff>
    </xdr:from>
    <xdr:ext cx="2143125" cy="552450"/>
    <xdr:sp macro="GuardarAccidente" textlink="">
      <xdr:nvSpPr>
        <xdr:cNvPr id="3" name="Shape 3"/>
        <xdr:cNvSpPr/>
      </xdr:nvSpPr>
      <xdr:spPr>
        <a:xfrm>
          <a:off x="4283963" y="3518063"/>
          <a:ext cx="2124075" cy="523875"/>
        </a:xfrm>
        <a:prstGeom prst="rect">
          <a:avLst/>
        </a:prstGeom>
        <a:solidFill>
          <a:schemeClr val="accent1"/>
        </a:solidFill>
        <a:ln w="25400" cap="flat" cmpd="sng">
          <a:solidFill>
            <a:srgbClr val="395E89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ACCIDENTE</a:t>
          </a:r>
          <a:endParaRPr sz="1400"/>
        </a:p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1000"/>
  <sheetViews>
    <sheetView showGridLines="0" workbookViewId="0"/>
  </sheetViews>
  <sheetFormatPr baseColWidth="10" defaultColWidth="14.42578125" defaultRowHeight="15" customHeight="1"/>
  <cols>
    <col min="1" max="1" width="120" customWidth="1"/>
    <col min="2" max="26" width="9.140625" customWidth="1"/>
  </cols>
  <sheetData>
    <row r="1" spans="1:1" ht="21">
      <c r="A1" s="1" t="s">
        <v>0</v>
      </c>
    </row>
    <row r="3" spans="1:1">
      <c r="A3" s="2" t="s">
        <v>1</v>
      </c>
    </row>
    <row r="4" spans="1:1">
      <c r="A4" s="2" t="s">
        <v>2</v>
      </c>
    </row>
    <row r="5" spans="1:1">
      <c r="A5" s="2" t="s">
        <v>3</v>
      </c>
    </row>
    <row r="6" spans="1:1">
      <c r="A6" s="2" t="s">
        <v>4</v>
      </c>
    </row>
    <row r="7" spans="1:1">
      <c r="A7" s="2" t="s">
        <v>5</v>
      </c>
    </row>
    <row r="8" spans="1:1">
      <c r="A8" s="2" t="s">
        <v>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5" right="0.75" top="1" bottom="1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J1000"/>
  <sheetViews>
    <sheetView showGridLines="0" workbookViewId="0">
      <pane ySplit="3" topLeftCell="A4" activePane="bottomLeft" state="frozen"/>
      <selection pane="bottomLeft" activeCell="B5" sqref="B5"/>
    </sheetView>
  </sheetViews>
  <sheetFormatPr baseColWidth="10" defaultColWidth="14.42578125" defaultRowHeight="15" customHeight="1"/>
  <cols>
    <col min="1" max="1" width="16" customWidth="1"/>
    <col min="2" max="2" width="28" customWidth="1"/>
    <col min="3" max="3" width="16" customWidth="1"/>
    <col min="4" max="4" width="18" customWidth="1"/>
    <col min="5" max="5" width="16" customWidth="1"/>
    <col min="6" max="6" width="10" customWidth="1"/>
    <col min="7" max="7" width="24" customWidth="1"/>
    <col min="8" max="8" width="16" customWidth="1"/>
    <col min="9" max="9" width="22" customWidth="1"/>
    <col min="10" max="10" width="50.140625" customWidth="1"/>
    <col min="11" max="26" width="9.140625" customWidth="1"/>
  </cols>
  <sheetData>
    <row r="1" spans="1:10" ht="18.75">
      <c r="A1" s="3" t="s">
        <v>7</v>
      </c>
    </row>
    <row r="3" spans="1:10" ht="30">
      <c r="A3" s="4" t="s">
        <v>8</v>
      </c>
      <c r="B3" s="4" t="s">
        <v>9</v>
      </c>
      <c r="C3" s="4" t="s">
        <v>10</v>
      </c>
      <c r="D3" s="4" t="s">
        <v>11</v>
      </c>
      <c r="E3" s="4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</row>
    <row r="4" spans="1:10">
      <c r="A4" s="5" t="s">
        <v>18</v>
      </c>
      <c r="B4" s="5" t="s">
        <v>19</v>
      </c>
      <c r="C4" s="5" t="s">
        <v>20</v>
      </c>
      <c r="D4" s="5" t="s">
        <v>21</v>
      </c>
      <c r="E4" s="6">
        <v>44340</v>
      </c>
      <c r="F4" s="7">
        <f t="shared" ref="F4:F505" ca="1" si="0">IFERROR(DATEDIF(E4,TODAY(),"Y"),"")</f>
        <v>4</v>
      </c>
      <c r="G4" s="5" t="s">
        <v>22</v>
      </c>
      <c r="H4" s="5">
        <v>973566559</v>
      </c>
      <c r="I4" s="5" t="s">
        <v>23</v>
      </c>
      <c r="J4" s="5" t="s">
        <v>24</v>
      </c>
    </row>
    <row r="5" spans="1:10">
      <c r="A5" s="5" t="s">
        <v>25</v>
      </c>
      <c r="B5" s="5" t="s">
        <v>26</v>
      </c>
      <c r="C5" s="5" t="s">
        <v>27</v>
      </c>
      <c r="D5" s="5" t="s">
        <v>21</v>
      </c>
      <c r="E5" s="6">
        <v>44564</v>
      </c>
      <c r="F5" s="7">
        <f t="shared" ca="1" si="0"/>
        <v>4</v>
      </c>
      <c r="G5" s="5" t="s">
        <v>28</v>
      </c>
      <c r="H5" s="5">
        <v>950689908</v>
      </c>
      <c r="I5" s="5" t="s">
        <v>23</v>
      </c>
      <c r="J5" s="5" t="s">
        <v>29</v>
      </c>
    </row>
    <row r="6" spans="1:10">
      <c r="A6" s="5" t="s">
        <v>30</v>
      </c>
      <c r="B6" s="5" t="s">
        <v>31</v>
      </c>
      <c r="C6" s="5" t="s">
        <v>32</v>
      </c>
      <c r="D6" s="5" t="s">
        <v>21</v>
      </c>
      <c r="E6" s="6">
        <v>44356</v>
      </c>
      <c r="F6" s="7">
        <f t="shared" ca="1" si="0"/>
        <v>4</v>
      </c>
      <c r="G6" s="5" t="s">
        <v>33</v>
      </c>
      <c r="H6" s="5">
        <v>965931647</v>
      </c>
      <c r="I6" s="5" t="s">
        <v>23</v>
      </c>
      <c r="J6" s="5" t="s">
        <v>34</v>
      </c>
    </row>
    <row r="7" spans="1:10">
      <c r="A7" s="5" t="s">
        <v>35</v>
      </c>
      <c r="B7" s="5" t="s">
        <v>36</v>
      </c>
      <c r="C7" s="5" t="s">
        <v>37</v>
      </c>
      <c r="D7" s="5" t="s">
        <v>21</v>
      </c>
      <c r="E7" s="6">
        <v>44405</v>
      </c>
      <c r="F7" s="7">
        <f t="shared" ca="1" si="0"/>
        <v>4</v>
      </c>
      <c r="G7" s="5" t="s">
        <v>38</v>
      </c>
      <c r="H7" s="5">
        <v>938913603</v>
      </c>
      <c r="I7" s="5" t="s">
        <v>23</v>
      </c>
      <c r="J7" s="5" t="s">
        <v>39</v>
      </c>
    </row>
    <row r="8" spans="1:10">
      <c r="A8" s="5" t="s">
        <v>40</v>
      </c>
      <c r="B8" s="5" t="s">
        <v>41</v>
      </c>
      <c r="C8" s="5" t="s">
        <v>42</v>
      </c>
      <c r="D8" s="5" t="s">
        <v>21</v>
      </c>
      <c r="E8" s="6">
        <v>44620</v>
      </c>
      <c r="F8" s="7">
        <f t="shared" ca="1" si="0"/>
        <v>4</v>
      </c>
      <c r="G8" s="5" t="s">
        <v>43</v>
      </c>
      <c r="H8" s="5">
        <v>956647898</v>
      </c>
      <c r="I8" s="5" t="s">
        <v>23</v>
      </c>
      <c r="J8" s="5" t="s">
        <v>44</v>
      </c>
    </row>
    <row r="9" spans="1:10">
      <c r="A9" s="5" t="s">
        <v>45</v>
      </c>
      <c r="B9" s="5" t="s">
        <v>46</v>
      </c>
      <c r="C9" s="5" t="s">
        <v>47</v>
      </c>
      <c r="D9" s="5" t="s">
        <v>21</v>
      </c>
      <c r="E9" s="6">
        <v>44475</v>
      </c>
      <c r="F9" s="7">
        <f t="shared" ca="1" si="0"/>
        <v>4</v>
      </c>
      <c r="G9" s="5" t="s">
        <v>48</v>
      </c>
      <c r="H9" s="5">
        <v>930032311</v>
      </c>
      <c r="I9" s="5" t="s">
        <v>23</v>
      </c>
      <c r="J9" s="5" t="s">
        <v>49</v>
      </c>
    </row>
    <row r="10" spans="1:10">
      <c r="A10" s="5" t="s">
        <v>50</v>
      </c>
      <c r="B10" s="5" t="s">
        <v>51</v>
      </c>
      <c r="C10" s="5" t="s">
        <v>52</v>
      </c>
      <c r="D10" s="5" t="s">
        <v>21</v>
      </c>
      <c r="E10" s="6">
        <v>44579</v>
      </c>
      <c r="F10" s="7">
        <f t="shared" ca="1" si="0"/>
        <v>4</v>
      </c>
      <c r="G10" s="5" t="s">
        <v>53</v>
      </c>
      <c r="H10" s="5">
        <v>936567653</v>
      </c>
      <c r="I10" s="5" t="s">
        <v>23</v>
      </c>
      <c r="J10" s="5" t="s">
        <v>54</v>
      </c>
    </row>
    <row r="11" spans="1:10">
      <c r="A11" s="5" t="s">
        <v>55</v>
      </c>
      <c r="B11" s="5" t="s">
        <v>56</v>
      </c>
      <c r="C11" s="5" t="s">
        <v>57</v>
      </c>
      <c r="D11" s="5" t="s">
        <v>21</v>
      </c>
      <c r="E11" s="6">
        <v>44614</v>
      </c>
      <c r="F11" s="7">
        <f t="shared" ca="1" si="0"/>
        <v>4</v>
      </c>
      <c r="G11" s="5" t="s">
        <v>58</v>
      </c>
      <c r="H11" s="5">
        <v>975108710</v>
      </c>
      <c r="I11" s="5" t="s">
        <v>23</v>
      </c>
      <c r="J11" s="5" t="s">
        <v>59</v>
      </c>
    </row>
    <row r="12" spans="1:10">
      <c r="A12" s="5" t="s">
        <v>60</v>
      </c>
      <c r="B12" s="5" t="s">
        <v>61</v>
      </c>
      <c r="C12" s="5" t="s">
        <v>62</v>
      </c>
      <c r="D12" s="5" t="s">
        <v>21</v>
      </c>
      <c r="E12" s="6">
        <v>44589</v>
      </c>
      <c r="F12" s="7">
        <f t="shared" ca="1" si="0"/>
        <v>4</v>
      </c>
      <c r="G12" s="5" t="s">
        <v>63</v>
      </c>
      <c r="H12" s="5">
        <v>988313905</v>
      </c>
      <c r="I12" s="5" t="s">
        <v>23</v>
      </c>
      <c r="J12" s="5" t="s">
        <v>64</v>
      </c>
    </row>
    <row r="13" spans="1:10">
      <c r="A13" s="5" t="s">
        <v>65</v>
      </c>
      <c r="B13" s="5" t="s">
        <v>66</v>
      </c>
      <c r="C13" s="5" t="s">
        <v>67</v>
      </c>
      <c r="D13" s="5" t="s">
        <v>21</v>
      </c>
      <c r="E13" s="6">
        <v>44295</v>
      </c>
      <c r="F13" s="7">
        <f t="shared" ca="1" si="0"/>
        <v>4</v>
      </c>
      <c r="G13" s="5" t="s">
        <v>68</v>
      </c>
      <c r="H13" s="5">
        <v>964201178</v>
      </c>
      <c r="I13" s="5" t="s">
        <v>23</v>
      </c>
      <c r="J13" s="5" t="s">
        <v>69</v>
      </c>
    </row>
    <row r="14" spans="1:10">
      <c r="A14" s="5" t="s">
        <v>70</v>
      </c>
      <c r="B14" s="5" t="s">
        <v>71</v>
      </c>
      <c r="C14" s="5" t="s">
        <v>72</v>
      </c>
      <c r="D14" s="5" t="s">
        <v>21</v>
      </c>
      <c r="E14" s="6">
        <v>44358</v>
      </c>
      <c r="F14" s="7">
        <f t="shared" ca="1" si="0"/>
        <v>4</v>
      </c>
      <c r="G14" s="5" t="s">
        <v>73</v>
      </c>
      <c r="H14" s="5">
        <v>957681103</v>
      </c>
      <c r="I14" s="5" t="s">
        <v>23</v>
      </c>
      <c r="J14" s="5" t="s">
        <v>74</v>
      </c>
    </row>
    <row r="15" spans="1:10">
      <c r="A15" s="5" t="s">
        <v>75</v>
      </c>
      <c r="B15" s="5" t="s">
        <v>76</v>
      </c>
      <c r="C15" s="5" t="s">
        <v>77</v>
      </c>
      <c r="D15" s="5" t="s">
        <v>21</v>
      </c>
      <c r="E15" s="6">
        <v>44597</v>
      </c>
      <c r="F15" s="7">
        <f t="shared" ca="1" si="0"/>
        <v>4</v>
      </c>
      <c r="G15" s="5" t="s">
        <v>78</v>
      </c>
      <c r="H15" s="5">
        <v>952006133</v>
      </c>
      <c r="I15" s="5" t="s">
        <v>23</v>
      </c>
      <c r="J15" s="5" t="s">
        <v>79</v>
      </c>
    </row>
    <row r="16" spans="1:10">
      <c r="A16" s="5" t="s">
        <v>80</v>
      </c>
      <c r="B16" s="5" t="s">
        <v>81</v>
      </c>
      <c r="C16" s="5" t="s">
        <v>82</v>
      </c>
      <c r="D16" s="5" t="s">
        <v>21</v>
      </c>
      <c r="E16" s="6">
        <v>44619</v>
      </c>
      <c r="F16" s="7">
        <f t="shared" ca="1" si="0"/>
        <v>4</v>
      </c>
      <c r="G16" s="5" t="s">
        <v>83</v>
      </c>
      <c r="H16" s="5">
        <v>961334522</v>
      </c>
      <c r="I16" s="5" t="s">
        <v>23</v>
      </c>
      <c r="J16" s="5" t="s">
        <v>84</v>
      </c>
    </row>
    <row r="17" spans="1:10">
      <c r="A17" s="5" t="s">
        <v>85</v>
      </c>
      <c r="B17" s="5" t="s">
        <v>86</v>
      </c>
      <c r="C17" s="5" t="s">
        <v>87</v>
      </c>
      <c r="D17" s="5" t="s">
        <v>21</v>
      </c>
      <c r="E17" s="6">
        <v>44590</v>
      </c>
      <c r="F17" s="7">
        <f t="shared" ca="1" si="0"/>
        <v>4</v>
      </c>
      <c r="G17" s="5" t="s">
        <v>88</v>
      </c>
      <c r="H17" s="5">
        <v>952531148</v>
      </c>
      <c r="I17" s="5" t="s">
        <v>23</v>
      </c>
      <c r="J17" s="5" t="s">
        <v>89</v>
      </c>
    </row>
    <row r="18" spans="1:10">
      <c r="A18" s="5" t="s">
        <v>90</v>
      </c>
      <c r="B18" s="5" t="s">
        <v>91</v>
      </c>
      <c r="C18" s="5" t="s">
        <v>92</v>
      </c>
      <c r="D18" s="5" t="s">
        <v>21</v>
      </c>
      <c r="E18" s="6">
        <v>44646</v>
      </c>
      <c r="F18" s="7">
        <f t="shared" ca="1" si="0"/>
        <v>3</v>
      </c>
      <c r="G18" s="5" t="s">
        <v>93</v>
      </c>
      <c r="H18" s="5">
        <v>990372937</v>
      </c>
      <c r="I18" s="5" t="s">
        <v>23</v>
      </c>
      <c r="J18" s="5" t="s">
        <v>94</v>
      </c>
    </row>
    <row r="19" spans="1:10">
      <c r="A19" s="5" t="s">
        <v>95</v>
      </c>
      <c r="B19" s="5" t="s">
        <v>96</v>
      </c>
      <c r="C19" s="5" t="s">
        <v>97</v>
      </c>
      <c r="D19" s="5" t="s">
        <v>21</v>
      </c>
      <c r="E19" s="6">
        <v>44302</v>
      </c>
      <c r="F19" s="7">
        <f t="shared" ca="1" si="0"/>
        <v>4</v>
      </c>
      <c r="G19" s="5" t="s">
        <v>98</v>
      </c>
      <c r="H19" s="5">
        <v>983216613</v>
      </c>
      <c r="I19" s="5" t="s">
        <v>23</v>
      </c>
      <c r="J19" s="5" t="s">
        <v>99</v>
      </c>
    </row>
    <row r="20" spans="1:10">
      <c r="A20" s="5" t="s">
        <v>100</v>
      </c>
      <c r="B20" s="5" t="s">
        <v>101</v>
      </c>
      <c r="C20" s="5" t="s">
        <v>102</v>
      </c>
      <c r="D20" s="5" t="s">
        <v>21</v>
      </c>
      <c r="E20" s="6">
        <v>44287</v>
      </c>
      <c r="F20" s="7">
        <f t="shared" ca="1" si="0"/>
        <v>4</v>
      </c>
      <c r="G20" s="5" t="s">
        <v>103</v>
      </c>
      <c r="H20" s="5">
        <v>938991832</v>
      </c>
      <c r="I20" s="5" t="s">
        <v>23</v>
      </c>
      <c r="J20" s="5" t="s">
        <v>104</v>
      </c>
    </row>
    <row r="21" spans="1:10" ht="15.75" customHeight="1">
      <c r="A21" s="5" t="s">
        <v>105</v>
      </c>
      <c r="B21" s="5" t="s">
        <v>106</v>
      </c>
      <c r="C21" s="5" t="s">
        <v>107</v>
      </c>
      <c r="D21" s="5" t="s">
        <v>21</v>
      </c>
      <c r="E21" s="6">
        <v>44635</v>
      </c>
      <c r="F21" s="7">
        <f t="shared" ca="1" si="0"/>
        <v>4</v>
      </c>
      <c r="G21" s="5" t="s">
        <v>108</v>
      </c>
      <c r="H21" s="5">
        <v>927799329</v>
      </c>
      <c r="I21" s="5" t="s">
        <v>23</v>
      </c>
      <c r="J21" s="5" t="s">
        <v>109</v>
      </c>
    </row>
    <row r="22" spans="1:10" ht="15.75" customHeight="1">
      <c r="A22" s="5" t="s">
        <v>110</v>
      </c>
      <c r="B22" s="5" t="s">
        <v>111</v>
      </c>
      <c r="C22" s="5" t="s">
        <v>112</v>
      </c>
      <c r="D22" s="5" t="s">
        <v>113</v>
      </c>
      <c r="E22" s="6">
        <v>44194</v>
      </c>
      <c r="F22" s="7">
        <f t="shared" ca="1" si="0"/>
        <v>5</v>
      </c>
      <c r="G22" s="5" t="s">
        <v>114</v>
      </c>
      <c r="H22" s="5">
        <v>979896066</v>
      </c>
      <c r="I22" s="5" t="s">
        <v>23</v>
      </c>
      <c r="J22" s="5" t="s">
        <v>115</v>
      </c>
    </row>
    <row r="23" spans="1:10" ht="15.75" customHeight="1">
      <c r="A23" s="5" t="s">
        <v>116</v>
      </c>
      <c r="B23" s="5" t="s">
        <v>117</v>
      </c>
      <c r="C23" s="5" t="s">
        <v>118</v>
      </c>
      <c r="D23" s="5" t="s">
        <v>113</v>
      </c>
      <c r="E23" s="6">
        <v>44194</v>
      </c>
      <c r="F23" s="7">
        <f t="shared" ca="1" si="0"/>
        <v>5</v>
      </c>
      <c r="G23" s="5" t="s">
        <v>114</v>
      </c>
      <c r="H23" s="5">
        <v>979896066</v>
      </c>
      <c r="I23" s="5" t="s">
        <v>23</v>
      </c>
      <c r="J23" s="5" t="s">
        <v>115</v>
      </c>
    </row>
    <row r="24" spans="1:10" ht="15.75" customHeight="1">
      <c r="A24" s="5" t="s">
        <v>119</v>
      </c>
      <c r="B24" s="5" t="s">
        <v>120</v>
      </c>
      <c r="C24" s="5" t="s">
        <v>121</v>
      </c>
      <c r="D24" s="5" t="s">
        <v>113</v>
      </c>
      <c r="E24" s="6">
        <v>44100</v>
      </c>
      <c r="F24" s="7">
        <f t="shared" ca="1" si="0"/>
        <v>5</v>
      </c>
      <c r="G24" s="5" t="s">
        <v>122</v>
      </c>
      <c r="H24" s="5">
        <v>990076270</v>
      </c>
      <c r="I24" s="5" t="s">
        <v>23</v>
      </c>
      <c r="J24" s="5" t="s">
        <v>123</v>
      </c>
    </row>
    <row r="25" spans="1:10" ht="15.75" customHeight="1">
      <c r="A25" s="5" t="s">
        <v>124</v>
      </c>
      <c r="B25" s="5" t="s">
        <v>125</v>
      </c>
      <c r="C25" s="5" t="s">
        <v>126</v>
      </c>
      <c r="D25" s="5" t="s">
        <v>113</v>
      </c>
      <c r="E25" s="6">
        <v>44069</v>
      </c>
      <c r="F25" s="7">
        <f t="shared" ca="1" si="0"/>
        <v>5</v>
      </c>
      <c r="G25" s="5" t="s">
        <v>127</v>
      </c>
      <c r="H25" s="5">
        <v>986865809</v>
      </c>
      <c r="I25" s="5" t="s">
        <v>23</v>
      </c>
      <c r="J25" s="5" t="s">
        <v>128</v>
      </c>
    </row>
    <row r="26" spans="1:10" ht="15.75" customHeight="1">
      <c r="A26" s="5" t="s">
        <v>129</v>
      </c>
      <c r="B26" s="5" t="s">
        <v>130</v>
      </c>
      <c r="C26" s="5" t="s">
        <v>131</v>
      </c>
      <c r="D26" s="5" t="s">
        <v>113</v>
      </c>
      <c r="E26" s="6">
        <v>44124</v>
      </c>
      <c r="F26" s="7">
        <f t="shared" ca="1" si="0"/>
        <v>5</v>
      </c>
      <c r="G26" s="5" t="s">
        <v>132</v>
      </c>
      <c r="H26" s="5">
        <v>952235685</v>
      </c>
      <c r="I26" s="5" t="s">
        <v>23</v>
      </c>
      <c r="J26" s="5" t="s">
        <v>133</v>
      </c>
    </row>
    <row r="27" spans="1:10" ht="15.75" customHeight="1">
      <c r="A27" s="5" t="s">
        <v>134</v>
      </c>
      <c r="B27" s="5" t="s">
        <v>135</v>
      </c>
      <c r="C27" s="5" t="s">
        <v>136</v>
      </c>
      <c r="D27" s="5" t="s">
        <v>113</v>
      </c>
      <c r="E27" s="6">
        <v>44041</v>
      </c>
      <c r="F27" s="7">
        <f t="shared" ca="1" si="0"/>
        <v>5</v>
      </c>
      <c r="G27" s="5" t="s">
        <v>137</v>
      </c>
      <c r="H27" s="5">
        <v>922395975</v>
      </c>
      <c r="I27" s="5" t="s">
        <v>23</v>
      </c>
      <c r="J27" s="5" t="s">
        <v>138</v>
      </c>
    </row>
    <row r="28" spans="1:10" ht="15.75" customHeight="1">
      <c r="A28" s="5" t="s">
        <v>139</v>
      </c>
      <c r="B28" s="5" t="s">
        <v>140</v>
      </c>
      <c r="C28" s="5" t="s">
        <v>141</v>
      </c>
      <c r="D28" s="5" t="s">
        <v>113</v>
      </c>
      <c r="E28" s="6">
        <v>44179</v>
      </c>
      <c r="F28" s="7">
        <f t="shared" ca="1" si="0"/>
        <v>5</v>
      </c>
      <c r="G28" s="5" t="s">
        <v>142</v>
      </c>
      <c r="H28" s="5">
        <v>954570527</v>
      </c>
      <c r="I28" s="5" t="s">
        <v>23</v>
      </c>
      <c r="J28" s="5" t="s">
        <v>143</v>
      </c>
    </row>
    <row r="29" spans="1:10" ht="15.75" customHeight="1">
      <c r="A29" s="5" t="s">
        <v>144</v>
      </c>
      <c r="B29" s="5" t="s">
        <v>145</v>
      </c>
      <c r="C29" s="5" t="s">
        <v>146</v>
      </c>
      <c r="D29" s="5" t="s">
        <v>113</v>
      </c>
      <c r="E29" s="6">
        <v>44043</v>
      </c>
      <c r="F29" s="7">
        <f t="shared" ca="1" si="0"/>
        <v>5</v>
      </c>
      <c r="G29" s="5" t="s">
        <v>147</v>
      </c>
      <c r="H29" s="5">
        <v>969087063</v>
      </c>
      <c r="I29" s="5" t="s">
        <v>23</v>
      </c>
      <c r="J29" s="5" t="s">
        <v>148</v>
      </c>
    </row>
    <row r="30" spans="1:10" ht="15.75" customHeight="1">
      <c r="A30" s="5" t="s">
        <v>149</v>
      </c>
      <c r="B30" s="5" t="s">
        <v>150</v>
      </c>
      <c r="C30" s="5" t="s">
        <v>151</v>
      </c>
      <c r="D30" s="5" t="s">
        <v>113</v>
      </c>
      <c r="E30" s="6">
        <v>44207</v>
      </c>
      <c r="F30" s="7">
        <f t="shared" ca="1" si="0"/>
        <v>5</v>
      </c>
      <c r="G30" s="5" t="s">
        <v>152</v>
      </c>
      <c r="H30" s="5">
        <v>952277733</v>
      </c>
      <c r="I30" s="5" t="s">
        <v>23</v>
      </c>
      <c r="J30" s="5" t="s">
        <v>153</v>
      </c>
    </row>
    <row r="31" spans="1:10" ht="15.75" customHeight="1">
      <c r="A31" s="5" t="s">
        <v>154</v>
      </c>
      <c r="B31" s="5" t="s">
        <v>155</v>
      </c>
      <c r="C31" s="5" t="s">
        <v>156</v>
      </c>
      <c r="D31" s="5" t="s">
        <v>113</v>
      </c>
      <c r="E31" s="6">
        <v>44059</v>
      </c>
      <c r="F31" s="7">
        <f t="shared" ca="1" si="0"/>
        <v>5</v>
      </c>
      <c r="G31" s="5" t="s">
        <v>157</v>
      </c>
      <c r="H31" s="5">
        <v>933443921</v>
      </c>
      <c r="I31" s="5" t="s">
        <v>23</v>
      </c>
      <c r="J31" s="5" t="s">
        <v>158</v>
      </c>
    </row>
    <row r="32" spans="1:10" ht="15.75" customHeight="1">
      <c r="A32" s="5" t="s">
        <v>159</v>
      </c>
      <c r="B32" s="5" t="s">
        <v>160</v>
      </c>
      <c r="C32" s="5" t="s">
        <v>161</v>
      </c>
      <c r="D32" s="5" t="s">
        <v>113</v>
      </c>
      <c r="E32" s="6">
        <v>44259</v>
      </c>
      <c r="F32" s="7">
        <f t="shared" ca="1" si="0"/>
        <v>5</v>
      </c>
      <c r="G32" s="5" t="s">
        <v>162</v>
      </c>
      <c r="H32" s="5">
        <v>944992739</v>
      </c>
      <c r="I32" s="5" t="s">
        <v>23</v>
      </c>
      <c r="J32" s="5" t="s">
        <v>163</v>
      </c>
    </row>
    <row r="33" spans="1:10" ht="15.75" customHeight="1">
      <c r="A33" s="5" t="s">
        <v>164</v>
      </c>
      <c r="B33" s="5" t="s">
        <v>165</v>
      </c>
      <c r="C33" s="5" t="s">
        <v>166</v>
      </c>
      <c r="D33" s="5" t="s">
        <v>113</v>
      </c>
      <c r="E33" s="6">
        <v>44147</v>
      </c>
      <c r="F33" s="7">
        <f t="shared" ca="1" si="0"/>
        <v>5</v>
      </c>
      <c r="G33" s="5" t="s">
        <v>167</v>
      </c>
      <c r="H33" s="5">
        <v>944016982</v>
      </c>
      <c r="I33" s="5" t="s">
        <v>23</v>
      </c>
      <c r="J33" s="5" t="s">
        <v>168</v>
      </c>
    </row>
    <row r="34" spans="1:10" ht="15.75" customHeight="1">
      <c r="A34" s="5" t="s">
        <v>169</v>
      </c>
      <c r="B34" s="5" t="s">
        <v>170</v>
      </c>
      <c r="C34" s="5" t="s">
        <v>171</v>
      </c>
      <c r="D34" s="5" t="s">
        <v>113</v>
      </c>
      <c r="E34" s="6">
        <v>44109</v>
      </c>
      <c r="F34" s="7">
        <f t="shared" ca="1" si="0"/>
        <v>5</v>
      </c>
      <c r="G34" s="5" t="s">
        <v>172</v>
      </c>
      <c r="H34" s="5">
        <v>973336461</v>
      </c>
      <c r="I34" s="5" t="s">
        <v>23</v>
      </c>
      <c r="J34" s="5" t="s">
        <v>173</v>
      </c>
    </row>
    <row r="35" spans="1:10" ht="15.75" customHeight="1">
      <c r="A35" s="5" t="s">
        <v>174</v>
      </c>
      <c r="B35" s="5" t="s">
        <v>175</v>
      </c>
      <c r="C35" s="5" t="s">
        <v>176</v>
      </c>
      <c r="D35" s="5" t="s">
        <v>113</v>
      </c>
      <c r="E35" s="6">
        <v>44084</v>
      </c>
      <c r="F35" s="7">
        <f t="shared" ca="1" si="0"/>
        <v>5</v>
      </c>
      <c r="G35" s="5" t="s">
        <v>177</v>
      </c>
      <c r="H35" s="5">
        <v>978141997</v>
      </c>
      <c r="I35" s="5" t="s">
        <v>23</v>
      </c>
      <c r="J35" s="5" t="s">
        <v>178</v>
      </c>
    </row>
    <row r="36" spans="1:10" ht="15.75" customHeight="1">
      <c r="A36" s="5" t="s">
        <v>179</v>
      </c>
      <c r="B36" s="5" t="s">
        <v>180</v>
      </c>
      <c r="C36" s="5" t="s">
        <v>181</v>
      </c>
      <c r="D36" s="5" t="s">
        <v>113</v>
      </c>
      <c r="E36" s="6">
        <v>44192</v>
      </c>
      <c r="F36" s="7">
        <f t="shared" ca="1" si="0"/>
        <v>5</v>
      </c>
      <c r="G36" s="5" t="s">
        <v>182</v>
      </c>
      <c r="H36" s="5">
        <v>948637293</v>
      </c>
      <c r="I36" s="5" t="s">
        <v>23</v>
      </c>
      <c r="J36" s="5" t="s">
        <v>183</v>
      </c>
    </row>
    <row r="37" spans="1:10" ht="15.75" customHeight="1">
      <c r="A37" s="5" t="s">
        <v>184</v>
      </c>
      <c r="B37" s="5" t="s">
        <v>185</v>
      </c>
      <c r="C37" s="5" t="s">
        <v>186</v>
      </c>
      <c r="D37" s="5" t="s">
        <v>113</v>
      </c>
      <c r="E37" s="6">
        <v>43933</v>
      </c>
      <c r="F37" s="7">
        <f t="shared" ca="1" si="0"/>
        <v>5</v>
      </c>
      <c r="G37" s="5" t="s">
        <v>187</v>
      </c>
      <c r="H37" s="5">
        <v>954273514</v>
      </c>
      <c r="I37" s="5" t="s">
        <v>23</v>
      </c>
      <c r="J37" s="5" t="s">
        <v>188</v>
      </c>
    </row>
    <row r="38" spans="1:10" ht="15.75" customHeight="1">
      <c r="A38" s="5" t="s">
        <v>189</v>
      </c>
      <c r="B38" s="5" t="s">
        <v>190</v>
      </c>
      <c r="C38" s="5" t="s">
        <v>191</v>
      </c>
      <c r="D38" s="5" t="s">
        <v>113</v>
      </c>
      <c r="E38" s="6">
        <v>44051</v>
      </c>
      <c r="F38" s="7">
        <f t="shared" ca="1" si="0"/>
        <v>5</v>
      </c>
      <c r="G38" s="5" t="s">
        <v>192</v>
      </c>
      <c r="H38" s="5">
        <v>936573367</v>
      </c>
      <c r="I38" s="5" t="s">
        <v>23</v>
      </c>
      <c r="J38" s="5" t="s">
        <v>193</v>
      </c>
    </row>
    <row r="39" spans="1:10" ht="15.75" customHeight="1">
      <c r="A39" s="5" t="s">
        <v>194</v>
      </c>
      <c r="B39" s="5" t="s">
        <v>195</v>
      </c>
      <c r="C39" s="5" t="s">
        <v>196</v>
      </c>
      <c r="D39" s="5" t="s">
        <v>113</v>
      </c>
      <c r="E39" s="6">
        <v>44243</v>
      </c>
      <c r="F39" s="7">
        <f t="shared" ca="1" si="0"/>
        <v>5</v>
      </c>
      <c r="G39" s="5" t="s">
        <v>197</v>
      </c>
      <c r="H39" s="5">
        <v>937699036</v>
      </c>
      <c r="I39" s="5" t="s">
        <v>23</v>
      </c>
      <c r="J39" s="5" t="s">
        <v>198</v>
      </c>
    </row>
    <row r="40" spans="1:10" ht="15.75" customHeight="1">
      <c r="A40" s="5" t="s">
        <v>199</v>
      </c>
      <c r="B40" s="5" t="s">
        <v>200</v>
      </c>
      <c r="C40" s="5" t="s">
        <v>201</v>
      </c>
      <c r="D40" s="5" t="s">
        <v>113</v>
      </c>
      <c r="E40" s="6">
        <v>44054</v>
      </c>
      <c r="F40" s="7">
        <f t="shared" ca="1" si="0"/>
        <v>5</v>
      </c>
      <c r="G40" s="5" t="s">
        <v>202</v>
      </c>
      <c r="H40" s="5">
        <v>978468340</v>
      </c>
      <c r="I40" s="5" t="s">
        <v>23</v>
      </c>
      <c r="J40" s="5" t="s">
        <v>203</v>
      </c>
    </row>
    <row r="41" spans="1:10" ht="15.75" customHeight="1">
      <c r="A41" s="5" t="s">
        <v>204</v>
      </c>
      <c r="B41" s="5" t="s">
        <v>205</v>
      </c>
      <c r="C41" s="5" t="s">
        <v>206</v>
      </c>
      <c r="D41" s="5" t="s">
        <v>113</v>
      </c>
      <c r="E41" s="6">
        <v>44187</v>
      </c>
      <c r="F41" s="7">
        <f t="shared" ca="1" si="0"/>
        <v>5</v>
      </c>
      <c r="G41" s="5" t="s">
        <v>207</v>
      </c>
      <c r="H41" s="5">
        <v>929656749</v>
      </c>
      <c r="I41" s="5" t="s">
        <v>23</v>
      </c>
      <c r="J41" s="5" t="s">
        <v>208</v>
      </c>
    </row>
    <row r="42" spans="1:10" ht="15.75" customHeight="1">
      <c r="A42" s="5" t="s">
        <v>209</v>
      </c>
      <c r="B42" s="5" t="s">
        <v>210</v>
      </c>
      <c r="C42" s="5" t="s">
        <v>211</v>
      </c>
      <c r="D42" s="5" t="s">
        <v>113</v>
      </c>
      <c r="E42" s="6">
        <v>44007</v>
      </c>
      <c r="F42" s="7">
        <f t="shared" ca="1" si="0"/>
        <v>5</v>
      </c>
      <c r="G42" s="5" t="s">
        <v>212</v>
      </c>
      <c r="H42" s="5">
        <v>940769822</v>
      </c>
      <c r="I42" s="5" t="s">
        <v>23</v>
      </c>
      <c r="J42" s="5" t="s">
        <v>213</v>
      </c>
    </row>
    <row r="43" spans="1:10" ht="15.75" customHeight="1">
      <c r="A43" s="5" t="s">
        <v>214</v>
      </c>
      <c r="B43" s="5" t="s">
        <v>215</v>
      </c>
      <c r="C43" s="5" t="s">
        <v>216</v>
      </c>
      <c r="D43" s="5" t="s">
        <v>217</v>
      </c>
      <c r="E43" s="6">
        <v>43713</v>
      </c>
      <c r="F43" s="7">
        <f t="shared" ca="1" si="0"/>
        <v>6</v>
      </c>
      <c r="G43" s="5" t="s">
        <v>218</v>
      </c>
      <c r="H43" s="5">
        <v>939202495</v>
      </c>
      <c r="I43" s="5" t="s">
        <v>219</v>
      </c>
      <c r="J43" s="5" t="s">
        <v>158</v>
      </c>
    </row>
    <row r="44" spans="1:10" ht="15.75" customHeight="1">
      <c r="A44" s="5" t="s">
        <v>220</v>
      </c>
      <c r="B44" s="5" t="s">
        <v>221</v>
      </c>
      <c r="C44" s="5" t="s">
        <v>222</v>
      </c>
      <c r="D44" s="5" t="s">
        <v>217</v>
      </c>
      <c r="E44" s="6">
        <v>43876</v>
      </c>
      <c r="F44" s="7">
        <f t="shared" ca="1" si="0"/>
        <v>6</v>
      </c>
      <c r="G44" s="5" t="s">
        <v>223</v>
      </c>
      <c r="H44" s="5">
        <v>957258095</v>
      </c>
      <c r="I44" s="5" t="s">
        <v>219</v>
      </c>
      <c r="J44" s="5" t="s">
        <v>224</v>
      </c>
    </row>
    <row r="45" spans="1:10" ht="15.75" customHeight="1">
      <c r="A45" s="5" t="s">
        <v>225</v>
      </c>
      <c r="B45" s="5" t="s">
        <v>226</v>
      </c>
      <c r="C45" s="5" t="s">
        <v>227</v>
      </c>
      <c r="D45" s="5" t="s">
        <v>217</v>
      </c>
      <c r="E45" s="6">
        <v>43573</v>
      </c>
      <c r="F45" s="7">
        <f t="shared" ca="1" si="0"/>
        <v>6</v>
      </c>
      <c r="G45" s="5" t="s">
        <v>228</v>
      </c>
      <c r="H45" s="5">
        <v>987523806</v>
      </c>
      <c r="I45" s="5" t="s">
        <v>23</v>
      </c>
      <c r="J45" s="5" t="s">
        <v>229</v>
      </c>
    </row>
    <row r="46" spans="1:10" ht="15.75" customHeight="1">
      <c r="A46" s="5" t="s">
        <v>230</v>
      </c>
      <c r="B46" s="5" t="s">
        <v>231</v>
      </c>
      <c r="C46" s="5" t="s">
        <v>232</v>
      </c>
      <c r="D46" s="5" t="s">
        <v>217</v>
      </c>
      <c r="E46" s="6">
        <v>43853</v>
      </c>
      <c r="F46" s="7">
        <f t="shared" ca="1" si="0"/>
        <v>6</v>
      </c>
      <c r="G46" s="5" t="s">
        <v>233</v>
      </c>
      <c r="H46" s="5">
        <v>952100015</v>
      </c>
      <c r="I46" s="5" t="s">
        <v>23</v>
      </c>
      <c r="J46" s="5" t="s">
        <v>234</v>
      </c>
    </row>
    <row r="47" spans="1:10" ht="15.75" customHeight="1">
      <c r="A47" s="5" t="s">
        <v>235</v>
      </c>
      <c r="B47" s="5" t="s">
        <v>236</v>
      </c>
      <c r="C47" s="5" t="s">
        <v>237</v>
      </c>
      <c r="D47" s="5" t="s">
        <v>217</v>
      </c>
      <c r="E47" s="6">
        <v>43702</v>
      </c>
      <c r="F47" s="7">
        <f t="shared" ca="1" si="0"/>
        <v>6</v>
      </c>
      <c r="G47" s="5" t="s">
        <v>238</v>
      </c>
      <c r="H47" s="5">
        <v>999107247</v>
      </c>
      <c r="I47" s="5" t="s">
        <v>23</v>
      </c>
      <c r="J47" s="5" t="s">
        <v>239</v>
      </c>
    </row>
    <row r="48" spans="1:10" ht="15.75" customHeight="1">
      <c r="A48" s="5" t="s">
        <v>240</v>
      </c>
      <c r="B48" s="5" t="s">
        <v>241</v>
      </c>
      <c r="C48" s="5" t="s">
        <v>242</v>
      </c>
      <c r="D48" s="5" t="s">
        <v>217</v>
      </c>
      <c r="E48" s="6">
        <v>43563</v>
      </c>
      <c r="F48" s="7">
        <f t="shared" ca="1" si="0"/>
        <v>6</v>
      </c>
      <c r="G48" s="5" t="s">
        <v>243</v>
      </c>
      <c r="H48" s="5">
        <v>966198645</v>
      </c>
      <c r="I48" s="5" t="s">
        <v>23</v>
      </c>
      <c r="J48" s="5" t="s">
        <v>244</v>
      </c>
    </row>
    <row r="49" spans="1:10" ht="15.75" customHeight="1">
      <c r="A49" s="5" t="s">
        <v>245</v>
      </c>
      <c r="B49" s="5" t="s">
        <v>246</v>
      </c>
      <c r="C49" s="5" t="s">
        <v>247</v>
      </c>
      <c r="D49" s="5" t="s">
        <v>217</v>
      </c>
      <c r="E49" s="6">
        <v>43759</v>
      </c>
      <c r="F49" s="7">
        <f t="shared" ca="1" si="0"/>
        <v>6</v>
      </c>
      <c r="G49" s="5" t="s">
        <v>248</v>
      </c>
      <c r="H49" s="5">
        <v>986164492</v>
      </c>
      <c r="I49" s="5" t="s">
        <v>23</v>
      </c>
      <c r="J49" s="5" t="s">
        <v>249</v>
      </c>
    </row>
    <row r="50" spans="1:10" ht="15.75" customHeight="1">
      <c r="A50" s="5" t="s">
        <v>250</v>
      </c>
      <c r="B50" s="5" t="s">
        <v>251</v>
      </c>
      <c r="C50" s="5" t="s">
        <v>252</v>
      </c>
      <c r="D50" s="5" t="s">
        <v>217</v>
      </c>
      <c r="E50" s="6">
        <v>43648</v>
      </c>
      <c r="F50" s="7">
        <f t="shared" ca="1" si="0"/>
        <v>6</v>
      </c>
      <c r="G50" s="5" t="s">
        <v>253</v>
      </c>
      <c r="H50" s="5">
        <v>977083636</v>
      </c>
      <c r="I50" s="5" t="s">
        <v>23</v>
      </c>
      <c r="J50" s="5" t="s">
        <v>254</v>
      </c>
    </row>
    <row r="51" spans="1:10" ht="15.75" customHeight="1">
      <c r="A51" s="5" t="s">
        <v>255</v>
      </c>
      <c r="B51" s="5" t="s">
        <v>256</v>
      </c>
      <c r="C51" s="5" t="s">
        <v>257</v>
      </c>
      <c r="D51" s="5" t="s">
        <v>217</v>
      </c>
      <c r="E51" s="6">
        <v>43400</v>
      </c>
      <c r="F51" s="7">
        <f t="shared" ca="1" si="0"/>
        <v>7</v>
      </c>
      <c r="G51" s="5" t="s">
        <v>258</v>
      </c>
      <c r="H51" s="5">
        <v>928781501</v>
      </c>
      <c r="I51" s="5" t="s">
        <v>23</v>
      </c>
      <c r="J51" s="5" t="s">
        <v>259</v>
      </c>
    </row>
    <row r="52" spans="1:10" ht="15.75" customHeight="1">
      <c r="A52" s="5" t="s">
        <v>260</v>
      </c>
      <c r="B52" s="5" t="s">
        <v>261</v>
      </c>
      <c r="C52" s="5" t="s">
        <v>262</v>
      </c>
      <c r="D52" s="5" t="s">
        <v>217</v>
      </c>
      <c r="E52" s="6">
        <v>43645</v>
      </c>
      <c r="F52" s="7">
        <f t="shared" ca="1" si="0"/>
        <v>6</v>
      </c>
      <c r="G52" s="5" t="s">
        <v>263</v>
      </c>
      <c r="H52" s="5">
        <v>998734151</v>
      </c>
      <c r="I52" s="5" t="s">
        <v>23</v>
      </c>
      <c r="J52" s="5" t="s">
        <v>264</v>
      </c>
    </row>
    <row r="53" spans="1:10" ht="15.75" customHeight="1">
      <c r="A53" s="5" t="s">
        <v>265</v>
      </c>
      <c r="B53" s="5" t="s">
        <v>266</v>
      </c>
      <c r="C53" s="5" t="s">
        <v>267</v>
      </c>
      <c r="D53" s="6" t="s">
        <v>217</v>
      </c>
      <c r="E53" s="6">
        <v>43672</v>
      </c>
      <c r="F53" s="7">
        <f t="shared" ca="1" si="0"/>
        <v>6</v>
      </c>
      <c r="G53" s="5" t="s">
        <v>162</v>
      </c>
      <c r="H53" s="5">
        <v>954650101</v>
      </c>
      <c r="I53" s="5" t="s">
        <v>23</v>
      </c>
      <c r="J53" s="5" t="s">
        <v>268</v>
      </c>
    </row>
    <row r="54" spans="1:10" ht="15.75" customHeight="1">
      <c r="A54" s="5" t="s">
        <v>269</v>
      </c>
      <c r="B54" s="5" t="s">
        <v>270</v>
      </c>
      <c r="C54" s="5" t="s">
        <v>271</v>
      </c>
      <c r="D54" s="5" t="s">
        <v>217</v>
      </c>
      <c r="E54" s="6">
        <v>43743</v>
      </c>
      <c r="F54" s="7">
        <f t="shared" ca="1" si="0"/>
        <v>6</v>
      </c>
      <c r="G54" s="5" t="s">
        <v>272</v>
      </c>
      <c r="H54" s="5">
        <v>996565962</v>
      </c>
      <c r="I54" s="5" t="s">
        <v>273</v>
      </c>
      <c r="J54" s="5" t="s">
        <v>274</v>
      </c>
    </row>
    <row r="55" spans="1:10" ht="15.75" customHeight="1">
      <c r="A55" s="5" t="s">
        <v>275</v>
      </c>
      <c r="B55" s="5" t="s">
        <v>276</v>
      </c>
      <c r="C55" s="5" t="s">
        <v>277</v>
      </c>
      <c r="D55" s="5" t="s">
        <v>217</v>
      </c>
      <c r="E55" s="6">
        <v>43829</v>
      </c>
      <c r="F55" s="7">
        <f t="shared" ca="1" si="0"/>
        <v>6</v>
      </c>
      <c r="G55" s="5" t="s">
        <v>278</v>
      </c>
      <c r="H55" s="5">
        <v>936387066</v>
      </c>
      <c r="I55" s="5" t="s">
        <v>23</v>
      </c>
      <c r="J55" s="5" t="s">
        <v>279</v>
      </c>
    </row>
    <row r="56" spans="1:10" ht="15.75" customHeight="1">
      <c r="A56" s="5" t="s">
        <v>280</v>
      </c>
      <c r="B56" s="5" t="s">
        <v>281</v>
      </c>
      <c r="C56" s="5" t="s">
        <v>282</v>
      </c>
      <c r="D56" s="5" t="s">
        <v>217</v>
      </c>
      <c r="E56" s="6">
        <v>43892</v>
      </c>
      <c r="F56" s="7">
        <f t="shared" ca="1" si="0"/>
        <v>6</v>
      </c>
      <c r="G56" s="5" t="s">
        <v>283</v>
      </c>
      <c r="H56" s="5">
        <v>920037012</v>
      </c>
      <c r="I56" s="5" t="s">
        <v>23</v>
      </c>
      <c r="J56" s="5" t="s">
        <v>284</v>
      </c>
    </row>
    <row r="57" spans="1:10" ht="15.75" customHeight="1">
      <c r="A57" s="5" t="s">
        <v>285</v>
      </c>
      <c r="B57" s="5" t="s">
        <v>286</v>
      </c>
      <c r="C57" s="5" t="s">
        <v>287</v>
      </c>
      <c r="D57" s="5" t="s">
        <v>217</v>
      </c>
      <c r="E57" s="6">
        <v>43902</v>
      </c>
      <c r="F57" s="7">
        <f t="shared" ca="1" si="0"/>
        <v>6</v>
      </c>
      <c r="G57" s="5" t="s">
        <v>288</v>
      </c>
      <c r="H57" s="5">
        <v>942842614</v>
      </c>
      <c r="I57" s="5" t="s">
        <v>23</v>
      </c>
      <c r="J57" s="5" t="s">
        <v>289</v>
      </c>
    </row>
    <row r="58" spans="1:10" ht="15.75" customHeight="1">
      <c r="A58" s="5" t="s">
        <v>290</v>
      </c>
      <c r="B58" s="5" t="s">
        <v>291</v>
      </c>
      <c r="C58" s="5" t="s">
        <v>292</v>
      </c>
      <c r="D58" s="5" t="s">
        <v>217</v>
      </c>
      <c r="E58" s="6">
        <v>43558</v>
      </c>
      <c r="F58" s="7">
        <f t="shared" ca="1" si="0"/>
        <v>6</v>
      </c>
      <c r="G58" s="5" t="s">
        <v>293</v>
      </c>
      <c r="H58" s="5">
        <v>990714900</v>
      </c>
      <c r="I58" s="5" t="s">
        <v>23</v>
      </c>
      <c r="J58" s="5" t="s">
        <v>294</v>
      </c>
    </row>
    <row r="59" spans="1:10" ht="15.75" customHeight="1">
      <c r="A59" s="5" t="s">
        <v>295</v>
      </c>
      <c r="B59" s="5" t="s">
        <v>296</v>
      </c>
      <c r="C59" s="5" t="s">
        <v>297</v>
      </c>
      <c r="D59" s="5" t="s">
        <v>217</v>
      </c>
      <c r="E59" s="6">
        <v>43645</v>
      </c>
      <c r="F59" s="7">
        <f t="shared" ca="1" si="0"/>
        <v>6</v>
      </c>
      <c r="G59" s="5" t="s">
        <v>298</v>
      </c>
      <c r="H59" s="5">
        <v>959290531</v>
      </c>
      <c r="I59" s="5" t="s">
        <v>299</v>
      </c>
      <c r="J59" s="5" t="s">
        <v>300</v>
      </c>
    </row>
    <row r="60" spans="1:10" ht="15.75" customHeight="1">
      <c r="A60" s="5" t="s">
        <v>301</v>
      </c>
      <c r="B60" s="5" t="s">
        <v>302</v>
      </c>
      <c r="C60" s="5" t="s">
        <v>303</v>
      </c>
      <c r="D60" s="5" t="s">
        <v>217</v>
      </c>
      <c r="E60" s="6">
        <v>43921</v>
      </c>
      <c r="F60" s="7">
        <f t="shared" ca="1" si="0"/>
        <v>5</v>
      </c>
      <c r="G60" s="5" t="s">
        <v>304</v>
      </c>
      <c r="H60" s="5">
        <v>949471334</v>
      </c>
      <c r="I60" s="5" t="s">
        <v>23</v>
      </c>
      <c r="J60" s="5" t="s">
        <v>305</v>
      </c>
    </row>
    <row r="61" spans="1:10" ht="15.75" customHeight="1">
      <c r="A61" s="5" t="s">
        <v>306</v>
      </c>
      <c r="B61" s="5" t="s">
        <v>307</v>
      </c>
      <c r="C61" s="5" t="s">
        <v>308</v>
      </c>
      <c r="D61" s="5" t="s">
        <v>217</v>
      </c>
      <c r="E61" s="6">
        <v>43709</v>
      </c>
      <c r="F61" s="7">
        <f t="shared" ca="1" si="0"/>
        <v>6</v>
      </c>
      <c r="G61" s="5" t="s">
        <v>309</v>
      </c>
      <c r="H61" s="5">
        <v>941701597</v>
      </c>
      <c r="I61" s="5" t="s">
        <v>23</v>
      </c>
      <c r="J61" s="5" t="s">
        <v>310</v>
      </c>
    </row>
    <row r="62" spans="1:10" ht="15.75" customHeight="1">
      <c r="A62" s="5" t="s">
        <v>311</v>
      </c>
      <c r="B62" s="5" t="s">
        <v>312</v>
      </c>
      <c r="C62" s="5" t="s">
        <v>313</v>
      </c>
      <c r="D62" s="5" t="s">
        <v>217</v>
      </c>
      <c r="E62" s="6">
        <v>43977</v>
      </c>
      <c r="F62" s="7">
        <f t="shared" ca="1" si="0"/>
        <v>5</v>
      </c>
      <c r="G62" s="5" t="s">
        <v>314</v>
      </c>
      <c r="H62" s="5" t="s">
        <v>315</v>
      </c>
      <c r="I62" s="5" t="s">
        <v>23</v>
      </c>
      <c r="J62" s="5" t="s">
        <v>316</v>
      </c>
    </row>
    <row r="63" spans="1:10" ht="15.75" customHeight="1">
      <c r="A63" s="5" t="s">
        <v>317</v>
      </c>
      <c r="B63" s="5" t="s">
        <v>318</v>
      </c>
      <c r="C63" s="5" t="s">
        <v>319</v>
      </c>
      <c r="D63" s="5" t="s">
        <v>217</v>
      </c>
      <c r="E63" s="6">
        <v>43571</v>
      </c>
      <c r="F63" s="7">
        <f t="shared" ca="1" si="0"/>
        <v>6</v>
      </c>
      <c r="G63" s="5" t="s">
        <v>320</v>
      </c>
      <c r="H63" s="5">
        <v>961176199</v>
      </c>
      <c r="I63" s="5" t="s">
        <v>23</v>
      </c>
      <c r="J63" s="5" t="s">
        <v>321</v>
      </c>
    </row>
    <row r="64" spans="1:10" ht="15.75" customHeight="1">
      <c r="A64" s="5" t="s">
        <v>322</v>
      </c>
      <c r="B64" s="5" t="s">
        <v>323</v>
      </c>
      <c r="C64" s="5" t="s">
        <v>324</v>
      </c>
      <c r="D64" s="5" t="s">
        <v>217</v>
      </c>
      <c r="E64" s="6">
        <v>43860</v>
      </c>
      <c r="F64" s="7">
        <f t="shared" ca="1" si="0"/>
        <v>6</v>
      </c>
      <c r="G64" s="5" t="s">
        <v>325</v>
      </c>
      <c r="H64" s="5">
        <v>973075050</v>
      </c>
      <c r="I64" s="5" t="s">
        <v>23</v>
      </c>
      <c r="J64" s="5" t="s">
        <v>326</v>
      </c>
    </row>
    <row r="65" spans="1:10" ht="15.75" customHeight="1">
      <c r="A65" s="5" t="s">
        <v>327</v>
      </c>
      <c r="B65" s="5" t="s">
        <v>328</v>
      </c>
      <c r="C65" s="5" t="s">
        <v>329</v>
      </c>
      <c r="D65" s="5" t="s">
        <v>217</v>
      </c>
      <c r="E65" s="6">
        <v>43768</v>
      </c>
      <c r="F65" s="7">
        <f t="shared" ca="1" si="0"/>
        <v>6</v>
      </c>
      <c r="G65" s="5" t="s">
        <v>330</v>
      </c>
      <c r="H65" s="5">
        <v>935970371</v>
      </c>
      <c r="I65" s="5" t="s">
        <v>23</v>
      </c>
      <c r="J65" s="5" t="s">
        <v>331</v>
      </c>
    </row>
    <row r="66" spans="1:10" ht="15.75" customHeight="1">
      <c r="A66" s="5" t="s">
        <v>332</v>
      </c>
      <c r="B66" s="5" t="s">
        <v>333</v>
      </c>
      <c r="C66" s="5" t="s">
        <v>334</v>
      </c>
      <c r="D66" s="5" t="s">
        <v>335</v>
      </c>
      <c r="E66" s="6">
        <v>42733</v>
      </c>
      <c r="F66" s="7">
        <f t="shared" ca="1" si="0"/>
        <v>9</v>
      </c>
      <c r="G66" s="5" t="s">
        <v>336</v>
      </c>
      <c r="H66" s="5">
        <v>927401480</v>
      </c>
      <c r="I66" s="5" t="s">
        <v>23</v>
      </c>
      <c r="J66" s="5" t="s">
        <v>337</v>
      </c>
    </row>
    <row r="67" spans="1:10" ht="15.75" customHeight="1">
      <c r="A67" s="5" t="s">
        <v>338</v>
      </c>
      <c r="B67" s="5" t="s">
        <v>339</v>
      </c>
      <c r="C67" s="5" t="s">
        <v>340</v>
      </c>
      <c r="D67" s="5" t="s">
        <v>335</v>
      </c>
      <c r="E67" s="6">
        <v>43251</v>
      </c>
      <c r="F67" s="7">
        <f t="shared" ca="1" si="0"/>
        <v>7</v>
      </c>
      <c r="G67" s="5" t="s">
        <v>341</v>
      </c>
      <c r="H67" s="5">
        <v>979723203</v>
      </c>
      <c r="I67" s="5" t="s">
        <v>23</v>
      </c>
      <c r="J67" s="5" t="s">
        <v>342</v>
      </c>
    </row>
    <row r="68" spans="1:10" ht="15.75" customHeight="1">
      <c r="A68" s="5" t="s">
        <v>343</v>
      </c>
      <c r="B68" s="5" t="s">
        <v>344</v>
      </c>
      <c r="C68" s="5" t="s">
        <v>345</v>
      </c>
      <c r="D68" s="5" t="s">
        <v>335</v>
      </c>
      <c r="E68" s="6">
        <v>43348</v>
      </c>
      <c r="F68" s="7">
        <f t="shared" ca="1" si="0"/>
        <v>7</v>
      </c>
      <c r="G68" s="5" t="s">
        <v>346</v>
      </c>
      <c r="H68" s="5">
        <v>944067988</v>
      </c>
      <c r="I68" s="5" t="s">
        <v>23</v>
      </c>
      <c r="J68" s="5" t="s">
        <v>284</v>
      </c>
    </row>
    <row r="69" spans="1:10" ht="15.75" customHeight="1">
      <c r="A69" s="5" t="s">
        <v>347</v>
      </c>
      <c r="B69" s="5" t="s">
        <v>348</v>
      </c>
      <c r="C69" s="5" t="s">
        <v>349</v>
      </c>
      <c r="D69" s="5" t="s">
        <v>335</v>
      </c>
      <c r="E69" s="6">
        <v>43212</v>
      </c>
      <c r="F69" s="7">
        <f t="shared" ca="1" si="0"/>
        <v>7</v>
      </c>
      <c r="G69" s="5" t="s">
        <v>350</v>
      </c>
      <c r="H69" s="5">
        <v>975225533</v>
      </c>
      <c r="I69" s="5" t="s">
        <v>23</v>
      </c>
      <c r="J69" s="5" t="s">
        <v>351</v>
      </c>
    </row>
    <row r="70" spans="1:10" ht="15.75" customHeight="1">
      <c r="A70" s="5" t="s">
        <v>352</v>
      </c>
      <c r="B70" s="5" t="s">
        <v>353</v>
      </c>
      <c r="C70" s="5" t="s">
        <v>354</v>
      </c>
      <c r="D70" s="5" t="s">
        <v>335</v>
      </c>
      <c r="E70" s="6">
        <v>43362</v>
      </c>
      <c r="F70" s="7">
        <f t="shared" ca="1" si="0"/>
        <v>7</v>
      </c>
      <c r="G70" s="5" t="s">
        <v>355</v>
      </c>
      <c r="H70" s="5">
        <v>950471102</v>
      </c>
      <c r="I70" s="5" t="s">
        <v>23</v>
      </c>
      <c r="J70" s="5" t="s">
        <v>356</v>
      </c>
    </row>
    <row r="71" spans="1:10" ht="15.75" customHeight="1">
      <c r="A71" s="5" t="s">
        <v>357</v>
      </c>
      <c r="B71" s="5" t="s">
        <v>358</v>
      </c>
      <c r="C71" s="5" t="s">
        <v>359</v>
      </c>
      <c r="D71" s="5" t="s">
        <v>335</v>
      </c>
      <c r="E71" s="6">
        <v>43232</v>
      </c>
      <c r="F71" s="7">
        <f t="shared" ca="1" si="0"/>
        <v>7</v>
      </c>
      <c r="G71" s="5" t="s">
        <v>360</v>
      </c>
      <c r="H71" s="5">
        <v>976109253</v>
      </c>
      <c r="I71" s="5" t="s">
        <v>23</v>
      </c>
      <c r="J71" s="5" t="s">
        <v>361</v>
      </c>
    </row>
    <row r="72" spans="1:10" ht="15.75" customHeight="1">
      <c r="A72" s="5" t="s">
        <v>362</v>
      </c>
      <c r="B72" s="5" t="s">
        <v>363</v>
      </c>
      <c r="C72" s="5" t="s">
        <v>364</v>
      </c>
      <c r="D72" s="5" t="s">
        <v>335</v>
      </c>
      <c r="E72" s="6">
        <v>43463</v>
      </c>
      <c r="F72" s="7">
        <f t="shared" ca="1" si="0"/>
        <v>7</v>
      </c>
      <c r="G72" s="5" t="s">
        <v>365</v>
      </c>
      <c r="H72" s="5">
        <v>933340887</v>
      </c>
      <c r="I72" s="5" t="s">
        <v>23</v>
      </c>
      <c r="J72" s="5" t="s">
        <v>366</v>
      </c>
    </row>
    <row r="73" spans="1:10" ht="15.75" customHeight="1">
      <c r="A73" s="5" t="s">
        <v>367</v>
      </c>
      <c r="B73" s="5" t="s">
        <v>368</v>
      </c>
      <c r="C73" s="5" t="s">
        <v>369</v>
      </c>
      <c r="D73" s="5" t="s">
        <v>335</v>
      </c>
      <c r="E73" s="6">
        <v>43290</v>
      </c>
      <c r="F73" s="7">
        <f t="shared" ca="1" si="0"/>
        <v>7</v>
      </c>
      <c r="G73" s="5" t="s">
        <v>137</v>
      </c>
      <c r="H73" s="5">
        <v>922395975</v>
      </c>
      <c r="I73" s="5" t="s">
        <v>23</v>
      </c>
      <c r="J73" s="5" t="s">
        <v>138</v>
      </c>
    </row>
    <row r="74" spans="1:10" ht="15.75" customHeight="1">
      <c r="A74" s="5" t="s">
        <v>370</v>
      </c>
      <c r="B74" s="5" t="s">
        <v>371</v>
      </c>
      <c r="C74" s="5" t="s">
        <v>372</v>
      </c>
      <c r="D74" s="5" t="s">
        <v>335</v>
      </c>
      <c r="E74" s="6">
        <v>43455</v>
      </c>
      <c r="F74" s="7">
        <f t="shared" ca="1" si="0"/>
        <v>7</v>
      </c>
      <c r="G74" s="5" t="s">
        <v>373</v>
      </c>
      <c r="H74" s="5">
        <v>996093669</v>
      </c>
      <c r="I74" s="5" t="s">
        <v>23</v>
      </c>
      <c r="J74" s="5" t="s">
        <v>374</v>
      </c>
    </row>
    <row r="75" spans="1:10" ht="15.75" customHeight="1">
      <c r="A75" s="5" t="s">
        <v>375</v>
      </c>
      <c r="B75" s="5" t="s">
        <v>376</v>
      </c>
      <c r="C75" s="5" t="s">
        <v>377</v>
      </c>
      <c r="D75" s="5" t="s">
        <v>335</v>
      </c>
      <c r="E75" s="6">
        <v>43399</v>
      </c>
      <c r="F75" s="7">
        <f t="shared" ca="1" si="0"/>
        <v>7</v>
      </c>
      <c r="G75" s="5" t="s">
        <v>378</v>
      </c>
      <c r="H75" s="5">
        <v>931128123</v>
      </c>
      <c r="I75" s="5" t="s">
        <v>23</v>
      </c>
      <c r="J75" s="5" t="s">
        <v>379</v>
      </c>
    </row>
    <row r="76" spans="1:10" ht="15.75" customHeight="1">
      <c r="A76" s="5" t="s">
        <v>380</v>
      </c>
      <c r="B76" s="5" t="s">
        <v>381</v>
      </c>
      <c r="C76" s="5" t="s">
        <v>382</v>
      </c>
      <c r="D76" s="5" t="s">
        <v>335</v>
      </c>
      <c r="E76" s="6">
        <v>43284</v>
      </c>
      <c r="F76" s="7">
        <f t="shared" ca="1" si="0"/>
        <v>7</v>
      </c>
      <c r="G76" s="5" t="s">
        <v>383</v>
      </c>
      <c r="H76" s="5">
        <v>991761038</v>
      </c>
      <c r="I76" s="5" t="s">
        <v>23</v>
      </c>
      <c r="J76" s="5" t="s">
        <v>384</v>
      </c>
    </row>
    <row r="77" spans="1:10" ht="15.75" customHeight="1">
      <c r="A77" s="5" t="s">
        <v>385</v>
      </c>
      <c r="B77" s="5" t="s">
        <v>386</v>
      </c>
      <c r="C77" s="5" t="s">
        <v>387</v>
      </c>
      <c r="D77" s="5" t="s">
        <v>335</v>
      </c>
      <c r="E77" s="6">
        <v>43347</v>
      </c>
      <c r="F77" s="7">
        <f t="shared" ca="1" si="0"/>
        <v>7</v>
      </c>
      <c r="G77" s="5" t="s">
        <v>388</v>
      </c>
      <c r="H77" s="5">
        <v>944798593</v>
      </c>
      <c r="I77" s="5" t="s">
        <v>23</v>
      </c>
      <c r="J77" s="5" t="s">
        <v>389</v>
      </c>
    </row>
    <row r="78" spans="1:10" ht="15.75" customHeight="1">
      <c r="A78" s="5" t="s">
        <v>390</v>
      </c>
      <c r="B78" s="5" t="s">
        <v>391</v>
      </c>
      <c r="C78" s="5" t="s">
        <v>392</v>
      </c>
      <c r="D78" s="5" t="s">
        <v>335</v>
      </c>
      <c r="E78" s="6">
        <v>43465</v>
      </c>
      <c r="F78" s="7">
        <f t="shared" ca="1" si="0"/>
        <v>7</v>
      </c>
      <c r="G78" s="5" t="s">
        <v>393</v>
      </c>
      <c r="H78" s="5">
        <v>949813689</v>
      </c>
      <c r="I78" s="5" t="s">
        <v>23</v>
      </c>
      <c r="J78" s="5" t="s">
        <v>394</v>
      </c>
    </row>
    <row r="79" spans="1:10" ht="15.75" customHeight="1">
      <c r="A79" s="5" t="s">
        <v>395</v>
      </c>
      <c r="B79" s="5" t="s">
        <v>396</v>
      </c>
      <c r="C79" s="5" t="s">
        <v>397</v>
      </c>
      <c r="D79" s="5" t="s">
        <v>335</v>
      </c>
      <c r="E79" s="6">
        <v>43282</v>
      </c>
      <c r="F79" s="7">
        <f t="shared" ca="1" si="0"/>
        <v>7</v>
      </c>
      <c r="G79" s="5" t="s">
        <v>398</v>
      </c>
      <c r="H79" s="5">
        <v>979095724</v>
      </c>
      <c r="I79" s="5" t="s">
        <v>23</v>
      </c>
      <c r="J79" s="5" t="s">
        <v>399</v>
      </c>
    </row>
    <row r="80" spans="1:10" ht="15.75" customHeight="1">
      <c r="A80" s="5" t="s">
        <v>400</v>
      </c>
      <c r="B80" s="5" t="s">
        <v>401</v>
      </c>
      <c r="C80" s="5" t="s">
        <v>402</v>
      </c>
      <c r="D80" s="5" t="s">
        <v>335</v>
      </c>
      <c r="E80" s="6">
        <v>43504</v>
      </c>
      <c r="F80" s="7">
        <f t="shared" ca="1" si="0"/>
        <v>7</v>
      </c>
      <c r="G80" s="5" t="s">
        <v>403</v>
      </c>
      <c r="H80" s="5">
        <v>930291515</v>
      </c>
      <c r="I80" s="5" t="s">
        <v>23</v>
      </c>
      <c r="J80" s="5" t="s">
        <v>404</v>
      </c>
    </row>
    <row r="81" spans="1:10" ht="15.75" customHeight="1">
      <c r="A81" s="5" t="s">
        <v>405</v>
      </c>
      <c r="B81" s="5" t="s">
        <v>406</v>
      </c>
      <c r="C81" s="5" t="s">
        <v>407</v>
      </c>
      <c r="D81" s="5" t="s">
        <v>335</v>
      </c>
      <c r="E81" s="6">
        <v>43310</v>
      </c>
      <c r="F81" s="7">
        <f t="shared" ca="1" si="0"/>
        <v>7</v>
      </c>
      <c r="G81" s="5" t="s">
        <v>408</v>
      </c>
      <c r="H81" s="5">
        <v>933540096</v>
      </c>
      <c r="I81" s="5" t="s">
        <v>23</v>
      </c>
      <c r="J81" s="5" t="s">
        <v>409</v>
      </c>
    </row>
    <row r="82" spans="1:10" ht="15.75" customHeight="1">
      <c r="A82" s="5" t="s">
        <v>410</v>
      </c>
      <c r="B82" s="5" t="s">
        <v>411</v>
      </c>
      <c r="C82" s="5" t="s">
        <v>412</v>
      </c>
      <c r="D82" s="5" t="s">
        <v>335</v>
      </c>
      <c r="E82" s="6">
        <v>42915</v>
      </c>
      <c r="F82" s="7">
        <f t="shared" ca="1" si="0"/>
        <v>8</v>
      </c>
      <c r="G82" s="5" t="s">
        <v>182</v>
      </c>
      <c r="H82" s="5">
        <v>948637293</v>
      </c>
      <c r="I82" s="5" t="s">
        <v>23</v>
      </c>
      <c r="J82" s="5" t="s">
        <v>183</v>
      </c>
    </row>
    <row r="83" spans="1:10" ht="15.75" customHeight="1">
      <c r="A83" s="5" t="s">
        <v>413</v>
      </c>
      <c r="B83" s="5" t="s">
        <v>414</v>
      </c>
      <c r="C83" s="5" t="s">
        <v>415</v>
      </c>
      <c r="D83" s="5" t="s">
        <v>335</v>
      </c>
      <c r="E83" s="6">
        <v>43302</v>
      </c>
      <c r="F83" s="7">
        <f t="shared" ca="1" si="0"/>
        <v>7</v>
      </c>
      <c r="G83" s="5" t="s">
        <v>314</v>
      </c>
      <c r="H83" s="5">
        <v>957104343</v>
      </c>
      <c r="I83" s="5" t="s">
        <v>23</v>
      </c>
      <c r="J83" s="5" t="s">
        <v>416</v>
      </c>
    </row>
    <row r="84" spans="1:10" ht="15.75" customHeight="1">
      <c r="A84" s="5" t="s">
        <v>417</v>
      </c>
      <c r="B84" s="5" t="s">
        <v>418</v>
      </c>
      <c r="C84" s="5" t="s">
        <v>419</v>
      </c>
      <c r="D84" s="5" t="s">
        <v>335</v>
      </c>
      <c r="E84" s="6">
        <v>43203</v>
      </c>
      <c r="F84" s="7">
        <f t="shared" ca="1" si="0"/>
        <v>7</v>
      </c>
      <c r="G84" s="5" t="s">
        <v>420</v>
      </c>
      <c r="H84" s="5">
        <v>981367418</v>
      </c>
      <c r="I84" s="5" t="s">
        <v>23</v>
      </c>
      <c r="J84" s="5" t="s">
        <v>421</v>
      </c>
    </row>
    <row r="85" spans="1:10" ht="15.75" customHeight="1">
      <c r="A85" s="5" t="s">
        <v>422</v>
      </c>
      <c r="B85" s="5" t="s">
        <v>423</v>
      </c>
      <c r="C85" s="5" t="s">
        <v>424</v>
      </c>
      <c r="D85" s="5" t="s">
        <v>335</v>
      </c>
      <c r="E85" s="6">
        <v>43533</v>
      </c>
      <c r="F85" s="7">
        <f t="shared" ca="1" si="0"/>
        <v>7</v>
      </c>
      <c r="G85" s="5" t="s">
        <v>425</v>
      </c>
      <c r="H85" s="5">
        <v>956110902</v>
      </c>
      <c r="I85" s="5" t="s">
        <v>23</v>
      </c>
      <c r="J85" s="5" t="s">
        <v>426</v>
      </c>
    </row>
    <row r="86" spans="1:10" ht="15.75" customHeight="1">
      <c r="A86" s="5" t="s">
        <v>427</v>
      </c>
      <c r="B86" s="5" t="s">
        <v>428</v>
      </c>
      <c r="C86" s="5" t="s">
        <v>429</v>
      </c>
      <c r="D86" s="5" t="s">
        <v>335</v>
      </c>
      <c r="E86" s="6">
        <v>43468</v>
      </c>
      <c r="F86" s="7">
        <f t="shared" ca="1" si="0"/>
        <v>7</v>
      </c>
      <c r="G86" s="5" t="s">
        <v>430</v>
      </c>
      <c r="H86" s="5">
        <v>972393841</v>
      </c>
      <c r="I86" s="5" t="s">
        <v>23</v>
      </c>
      <c r="J86" s="5" t="s">
        <v>431</v>
      </c>
    </row>
    <row r="87" spans="1:10" ht="15.75" customHeight="1">
      <c r="A87" s="5" t="s">
        <v>432</v>
      </c>
      <c r="B87" s="5" t="s">
        <v>433</v>
      </c>
      <c r="C87" s="5" t="s">
        <v>434</v>
      </c>
      <c r="D87" s="5" t="s">
        <v>335</v>
      </c>
      <c r="E87" s="6">
        <v>43330</v>
      </c>
      <c r="F87" s="7">
        <f t="shared" ca="1" si="0"/>
        <v>7</v>
      </c>
      <c r="G87" s="5" t="s">
        <v>435</v>
      </c>
      <c r="H87" s="5">
        <v>928195495</v>
      </c>
      <c r="I87" s="5" t="s">
        <v>23</v>
      </c>
      <c r="J87" s="5" t="s">
        <v>436</v>
      </c>
    </row>
    <row r="88" spans="1:10" ht="15.75" customHeight="1">
      <c r="A88" s="5" t="s">
        <v>437</v>
      </c>
      <c r="B88" s="5" t="s">
        <v>438</v>
      </c>
      <c r="C88" s="5" t="s">
        <v>434</v>
      </c>
      <c r="D88" s="5" t="s">
        <v>335</v>
      </c>
      <c r="E88" s="6">
        <v>43274</v>
      </c>
      <c r="F88" s="7">
        <f t="shared" ca="1" si="0"/>
        <v>7</v>
      </c>
      <c r="G88" s="5" t="s">
        <v>439</v>
      </c>
      <c r="H88" s="5">
        <v>949645395</v>
      </c>
      <c r="I88" s="5" t="s">
        <v>23</v>
      </c>
      <c r="J88" s="5" t="s">
        <v>440</v>
      </c>
    </row>
    <row r="89" spans="1:10" ht="15.75" customHeight="1">
      <c r="A89" s="5" t="s">
        <v>441</v>
      </c>
      <c r="B89" s="5" t="s">
        <v>442</v>
      </c>
      <c r="C89" s="5" t="s">
        <v>443</v>
      </c>
      <c r="D89" s="5" t="s">
        <v>335</v>
      </c>
      <c r="E89" s="6">
        <v>42979</v>
      </c>
      <c r="F89" s="7">
        <f t="shared" ca="1" si="0"/>
        <v>8</v>
      </c>
      <c r="G89" s="5" t="s">
        <v>444</v>
      </c>
      <c r="H89" s="5">
        <v>963886718</v>
      </c>
      <c r="I89" s="5" t="s">
        <v>23</v>
      </c>
      <c r="J89" s="5" t="s">
        <v>445</v>
      </c>
    </row>
    <row r="90" spans="1:10" ht="15.75" customHeight="1">
      <c r="A90" s="5" t="s">
        <v>446</v>
      </c>
      <c r="B90" s="5" t="s">
        <v>447</v>
      </c>
      <c r="C90" s="5" t="s">
        <v>448</v>
      </c>
      <c r="D90" s="5" t="s">
        <v>335</v>
      </c>
      <c r="E90" s="6">
        <v>43284</v>
      </c>
      <c r="F90" s="7">
        <f t="shared" ca="1" si="0"/>
        <v>7</v>
      </c>
      <c r="G90" s="5" t="s">
        <v>449</v>
      </c>
      <c r="H90" s="5">
        <v>957750149</v>
      </c>
      <c r="I90" s="5" t="s">
        <v>23</v>
      </c>
      <c r="J90" s="5" t="s">
        <v>450</v>
      </c>
    </row>
    <row r="91" spans="1:10" ht="15.75" customHeight="1">
      <c r="A91" s="5" t="s">
        <v>451</v>
      </c>
      <c r="B91" s="5" t="s">
        <v>452</v>
      </c>
      <c r="C91" s="5" t="s">
        <v>453</v>
      </c>
      <c r="D91" s="5" t="s">
        <v>454</v>
      </c>
      <c r="E91" s="6">
        <v>42889</v>
      </c>
      <c r="F91" s="7">
        <f t="shared" ca="1" si="0"/>
        <v>8</v>
      </c>
      <c r="G91" s="5" t="s">
        <v>455</v>
      </c>
      <c r="H91" s="5">
        <v>941425314</v>
      </c>
      <c r="I91" s="5" t="s">
        <v>219</v>
      </c>
      <c r="J91" s="5" t="s">
        <v>456</v>
      </c>
    </row>
    <row r="92" spans="1:10" ht="15.75" customHeight="1">
      <c r="A92" s="5" t="s">
        <v>457</v>
      </c>
      <c r="B92" s="5" t="s">
        <v>458</v>
      </c>
      <c r="C92" s="5" t="s">
        <v>459</v>
      </c>
      <c r="D92" s="5" t="s">
        <v>454</v>
      </c>
      <c r="E92" s="6">
        <v>42936</v>
      </c>
      <c r="F92" s="7">
        <f t="shared" ca="1" si="0"/>
        <v>8</v>
      </c>
      <c r="G92" s="5" t="s">
        <v>460</v>
      </c>
      <c r="H92" s="5">
        <v>949061633</v>
      </c>
      <c r="I92" s="5" t="s">
        <v>23</v>
      </c>
      <c r="J92" s="5" t="s">
        <v>461</v>
      </c>
    </row>
    <row r="93" spans="1:10" ht="15.75" customHeight="1">
      <c r="A93" s="5" t="s">
        <v>462</v>
      </c>
      <c r="B93" s="5" t="s">
        <v>463</v>
      </c>
      <c r="C93" s="5" t="s">
        <v>464</v>
      </c>
      <c r="D93" s="5" t="s">
        <v>454</v>
      </c>
      <c r="E93" s="6">
        <v>43041</v>
      </c>
      <c r="F93" s="7">
        <f t="shared" ca="1" si="0"/>
        <v>8</v>
      </c>
      <c r="G93" s="5" t="s">
        <v>465</v>
      </c>
      <c r="H93" s="5">
        <v>935137093</v>
      </c>
      <c r="I93" s="5" t="s">
        <v>23</v>
      </c>
      <c r="J93" s="5" t="s">
        <v>466</v>
      </c>
    </row>
    <row r="94" spans="1:10" ht="15.75" customHeight="1">
      <c r="A94" s="5" t="s">
        <v>467</v>
      </c>
      <c r="B94" s="5" t="s">
        <v>468</v>
      </c>
      <c r="C94" s="5" t="s">
        <v>469</v>
      </c>
      <c r="D94" s="5" t="s">
        <v>454</v>
      </c>
      <c r="E94" s="6">
        <v>42596</v>
      </c>
      <c r="F94" s="7">
        <f t="shared" ca="1" si="0"/>
        <v>9</v>
      </c>
      <c r="G94" s="5" t="s">
        <v>470</v>
      </c>
      <c r="H94" s="5">
        <v>926322976</v>
      </c>
      <c r="I94" s="5" t="s">
        <v>23</v>
      </c>
      <c r="J94" s="5" t="s">
        <v>471</v>
      </c>
    </row>
    <row r="95" spans="1:10" ht="15.75" customHeight="1">
      <c r="A95" s="5" t="s">
        <v>472</v>
      </c>
      <c r="B95" s="5" t="s">
        <v>473</v>
      </c>
      <c r="C95" s="5" t="s">
        <v>474</v>
      </c>
      <c r="D95" s="6" t="s">
        <v>454</v>
      </c>
      <c r="E95" s="6">
        <v>42966</v>
      </c>
      <c r="F95" s="7">
        <f t="shared" ca="1" si="0"/>
        <v>8</v>
      </c>
      <c r="G95" s="5" t="s">
        <v>475</v>
      </c>
      <c r="H95" s="5">
        <v>938836745</v>
      </c>
      <c r="I95" s="5" t="s">
        <v>23</v>
      </c>
      <c r="J95" s="5" t="s">
        <v>476</v>
      </c>
    </row>
    <row r="96" spans="1:10" ht="15.75" customHeight="1">
      <c r="A96" s="5" t="s">
        <v>477</v>
      </c>
      <c r="B96" s="5" t="s">
        <v>478</v>
      </c>
      <c r="C96" s="5" t="s">
        <v>479</v>
      </c>
      <c r="D96" s="5" t="s">
        <v>454</v>
      </c>
      <c r="E96" s="6">
        <v>42848</v>
      </c>
      <c r="F96" s="7">
        <f t="shared" ca="1" si="0"/>
        <v>8</v>
      </c>
      <c r="G96" s="5" t="s">
        <v>480</v>
      </c>
      <c r="H96" s="5">
        <v>977041428</v>
      </c>
      <c r="I96" s="5" t="s">
        <v>23</v>
      </c>
      <c r="J96" s="5" t="s">
        <v>481</v>
      </c>
    </row>
    <row r="97" spans="1:10" ht="15.75" customHeight="1">
      <c r="A97" s="5" t="s">
        <v>482</v>
      </c>
      <c r="B97" s="5" t="s">
        <v>483</v>
      </c>
      <c r="C97" s="5" t="s">
        <v>484</v>
      </c>
      <c r="D97" s="5" t="s">
        <v>454</v>
      </c>
      <c r="E97" s="6">
        <v>42916</v>
      </c>
      <c r="F97" s="7">
        <f t="shared" ca="1" si="0"/>
        <v>8</v>
      </c>
      <c r="G97" s="5" t="s">
        <v>485</v>
      </c>
      <c r="H97" s="5">
        <v>935009499</v>
      </c>
      <c r="I97" s="5" t="s">
        <v>23</v>
      </c>
      <c r="J97" s="5" t="s">
        <v>486</v>
      </c>
    </row>
    <row r="98" spans="1:10" ht="15.75" customHeight="1">
      <c r="A98" s="5" t="s">
        <v>487</v>
      </c>
      <c r="B98" s="5" t="s">
        <v>488</v>
      </c>
      <c r="C98" s="5" t="s">
        <v>489</v>
      </c>
      <c r="D98" s="5" t="s">
        <v>454</v>
      </c>
      <c r="E98" s="6">
        <v>43055</v>
      </c>
      <c r="F98" s="7">
        <f t="shared" ca="1" si="0"/>
        <v>8</v>
      </c>
      <c r="G98" s="5" t="s">
        <v>490</v>
      </c>
      <c r="H98" s="5">
        <v>979796716</v>
      </c>
      <c r="I98" s="5" t="s">
        <v>23</v>
      </c>
      <c r="J98" s="5" t="s">
        <v>491</v>
      </c>
    </row>
    <row r="99" spans="1:10" ht="15.75" customHeight="1">
      <c r="A99" s="5" t="s">
        <v>492</v>
      </c>
      <c r="B99" s="5" t="s">
        <v>493</v>
      </c>
      <c r="C99" s="5" t="s">
        <v>494</v>
      </c>
      <c r="D99" s="5" t="s">
        <v>454</v>
      </c>
      <c r="E99" s="6">
        <v>43021</v>
      </c>
      <c r="F99" s="7">
        <f t="shared" ca="1" si="0"/>
        <v>8</v>
      </c>
      <c r="G99" s="5" t="s">
        <v>495</v>
      </c>
      <c r="H99" s="5">
        <v>938955860</v>
      </c>
      <c r="I99" s="5" t="s">
        <v>23</v>
      </c>
      <c r="J99" s="5" t="s">
        <v>496</v>
      </c>
    </row>
    <row r="100" spans="1:10" ht="15.75" customHeight="1">
      <c r="A100" s="5" t="s">
        <v>497</v>
      </c>
      <c r="B100" s="5" t="s">
        <v>498</v>
      </c>
      <c r="C100" s="5" t="s">
        <v>499</v>
      </c>
      <c r="D100" s="5" t="s">
        <v>454</v>
      </c>
      <c r="E100" s="6">
        <v>42947</v>
      </c>
      <c r="F100" s="7">
        <f t="shared" ca="1" si="0"/>
        <v>8</v>
      </c>
      <c r="G100" s="5" t="s">
        <v>500</v>
      </c>
      <c r="H100" s="5">
        <v>958153355</v>
      </c>
      <c r="I100" s="5" t="s">
        <v>23</v>
      </c>
      <c r="J100" s="5" t="s">
        <v>501</v>
      </c>
    </row>
    <row r="101" spans="1:10" ht="15.75" customHeight="1">
      <c r="A101" s="5" t="s">
        <v>502</v>
      </c>
      <c r="B101" s="5" t="s">
        <v>503</v>
      </c>
      <c r="C101" s="5" t="s">
        <v>504</v>
      </c>
      <c r="D101" s="5" t="s">
        <v>454</v>
      </c>
      <c r="E101" s="6">
        <v>43166</v>
      </c>
      <c r="F101" s="7">
        <f t="shared" ca="1" si="0"/>
        <v>8</v>
      </c>
      <c r="G101" s="5" t="s">
        <v>505</v>
      </c>
      <c r="H101" s="5">
        <v>978846048</v>
      </c>
      <c r="I101" s="5" t="s">
        <v>23</v>
      </c>
      <c r="J101" s="5" t="s">
        <v>506</v>
      </c>
    </row>
    <row r="102" spans="1:10" ht="15.75" customHeight="1">
      <c r="A102" s="5" t="s">
        <v>507</v>
      </c>
      <c r="B102" s="5" t="s">
        <v>508</v>
      </c>
      <c r="C102" s="5" t="s">
        <v>509</v>
      </c>
      <c r="D102" s="5" t="s">
        <v>454</v>
      </c>
      <c r="E102" s="6">
        <v>43189</v>
      </c>
      <c r="F102" s="7">
        <f t="shared" ca="1" si="0"/>
        <v>7</v>
      </c>
      <c r="G102" s="5" t="s">
        <v>510</v>
      </c>
      <c r="H102" s="5">
        <v>948682736</v>
      </c>
      <c r="I102" s="5" t="s">
        <v>23</v>
      </c>
      <c r="J102" s="5" t="s">
        <v>511</v>
      </c>
    </row>
    <row r="103" spans="1:10" ht="15.75" customHeight="1">
      <c r="A103" s="5" t="s">
        <v>512</v>
      </c>
      <c r="B103" s="5" t="s">
        <v>513</v>
      </c>
      <c r="C103" s="5" t="s">
        <v>514</v>
      </c>
      <c r="D103" s="5" t="s">
        <v>454</v>
      </c>
      <c r="E103" s="6">
        <v>42856</v>
      </c>
      <c r="F103" s="7">
        <f t="shared" ca="1" si="0"/>
        <v>8</v>
      </c>
      <c r="G103" s="5" t="s">
        <v>515</v>
      </c>
      <c r="H103" s="5">
        <v>997839355</v>
      </c>
      <c r="I103" s="5" t="s">
        <v>23</v>
      </c>
      <c r="J103" s="5" t="s">
        <v>516</v>
      </c>
    </row>
    <row r="104" spans="1:10" ht="15.75" customHeight="1">
      <c r="A104" s="5" t="s">
        <v>517</v>
      </c>
      <c r="B104" s="5" t="s">
        <v>518</v>
      </c>
      <c r="C104" s="5" t="s">
        <v>519</v>
      </c>
      <c r="D104" s="5" t="s">
        <v>454</v>
      </c>
      <c r="E104" s="6">
        <v>43065</v>
      </c>
      <c r="F104" s="7">
        <f t="shared" ca="1" si="0"/>
        <v>8</v>
      </c>
      <c r="G104" s="5" t="s">
        <v>520</v>
      </c>
      <c r="H104" s="5">
        <v>930816802</v>
      </c>
      <c r="I104" s="5" t="s">
        <v>23</v>
      </c>
      <c r="J104" s="5" t="s">
        <v>521</v>
      </c>
    </row>
    <row r="105" spans="1:10" ht="15.75" customHeight="1">
      <c r="A105" s="5" t="s">
        <v>522</v>
      </c>
      <c r="B105" s="5" t="s">
        <v>523</v>
      </c>
      <c r="C105" s="5" t="s">
        <v>524</v>
      </c>
      <c r="D105" s="5" t="s">
        <v>454</v>
      </c>
      <c r="E105" s="6">
        <v>42596</v>
      </c>
      <c r="F105" s="7">
        <f t="shared" ca="1" si="0"/>
        <v>9</v>
      </c>
      <c r="G105" s="5" t="s">
        <v>525</v>
      </c>
      <c r="H105" s="5">
        <v>949102595</v>
      </c>
      <c r="I105" s="5" t="s">
        <v>23</v>
      </c>
      <c r="J105" s="5" t="s">
        <v>526</v>
      </c>
    </row>
    <row r="106" spans="1:10" ht="15.75" customHeight="1">
      <c r="A106" s="5" t="s">
        <v>527</v>
      </c>
      <c r="B106" s="5" t="s">
        <v>528</v>
      </c>
      <c r="C106" s="5" t="s">
        <v>529</v>
      </c>
      <c r="D106" s="5" t="s">
        <v>454</v>
      </c>
      <c r="E106" s="6">
        <v>43173</v>
      </c>
      <c r="F106" s="7">
        <f t="shared" ca="1" si="0"/>
        <v>8</v>
      </c>
      <c r="G106" s="5" t="s">
        <v>530</v>
      </c>
      <c r="H106" s="5">
        <v>920631699</v>
      </c>
      <c r="I106" s="5" t="s">
        <v>23</v>
      </c>
      <c r="J106" s="5" t="s">
        <v>531</v>
      </c>
    </row>
    <row r="107" spans="1:10" ht="15.75" customHeight="1">
      <c r="A107" s="5" t="s">
        <v>532</v>
      </c>
      <c r="B107" s="5" t="s">
        <v>533</v>
      </c>
      <c r="C107" s="5" t="s">
        <v>534</v>
      </c>
      <c r="D107" s="5" t="s">
        <v>454</v>
      </c>
      <c r="E107" s="6">
        <v>43061</v>
      </c>
      <c r="F107" s="7">
        <f t="shared" ca="1" si="0"/>
        <v>8</v>
      </c>
      <c r="G107" s="5" t="s">
        <v>535</v>
      </c>
      <c r="H107" s="5">
        <v>971520852</v>
      </c>
      <c r="I107" s="5" t="s">
        <v>23</v>
      </c>
      <c r="J107" s="5" t="s">
        <v>536</v>
      </c>
    </row>
    <row r="108" spans="1:10" ht="15.75" customHeight="1">
      <c r="A108" s="5" t="s">
        <v>537</v>
      </c>
      <c r="B108" s="5" t="s">
        <v>538</v>
      </c>
      <c r="C108" s="5" t="s">
        <v>539</v>
      </c>
      <c r="D108" s="5" t="s">
        <v>454</v>
      </c>
      <c r="E108" s="6">
        <v>42929</v>
      </c>
      <c r="F108" s="7">
        <f t="shared" ca="1" si="0"/>
        <v>8</v>
      </c>
      <c r="G108" s="5" t="s">
        <v>540</v>
      </c>
      <c r="H108" s="5">
        <v>973336461</v>
      </c>
      <c r="I108" s="5" t="s">
        <v>23</v>
      </c>
      <c r="J108" s="5" t="s">
        <v>541</v>
      </c>
    </row>
    <row r="109" spans="1:10" ht="15.75" customHeight="1">
      <c r="A109" s="5" t="s">
        <v>542</v>
      </c>
      <c r="B109" s="5" t="s">
        <v>543</v>
      </c>
      <c r="C109" s="5" t="s">
        <v>544</v>
      </c>
      <c r="D109" s="5" t="s">
        <v>454</v>
      </c>
      <c r="E109" s="6">
        <v>42928</v>
      </c>
      <c r="F109" s="7">
        <f t="shared" ca="1" si="0"/>
        <v>8</v>
      </c>
      <c r="G109" s="5" t="s">
        <v>545</v>
      </c>
      <c r="H109" s="5">
        <v>964203086</v>
      </c>
      <c r="I109" s="5" t="s">
        <v>23</v>
      </c>
      <c r="J109" s="5" t="s">
        <v>546</v>
      </c>
    </row>
    <row r="110" spans="1:10" ht="15.75" customHeight="1">
      <c r="A110" s="5" t="s">
        <v>547</v>
      </c>
      <c r="B110" s="5" t="s">
        <v>548</v>
      </c>
      <c r="C110" s="5" t="s">
        <v>549</v>
      </c>
      <c r="D110" s="5" t="s">
        <v>454</v>
      </c>
      <c r="E110" s="6">
        <v>42895</v>
      </c>
      <c r="F110" s="7">
        <f t="shared" ca="1" si="0"/>
        <v>8</v>
      </c>
      <c r="G110" s="5" t="s">
        <v>309</v>
      </c>
      <c r="H110" s="5">
        <v>941701597</v>
      </c>
      <c r="I110" s="5" t="s">
        <v>23</v>
      </c>
      <c r="J110" s="5" t="s">
        <v>550</v>
      </c>
    </row>
    <row r="111" spans="1:10" ht="15.75" customHeight="1">
      <c r="A111" s="5" t="s">
        <v>551</v>
      </c>
      <c r="B111" s="5" t="s">
        <v>552</v>
      </c>
      <c r="C111" s="5" t="s">
        <v>553</v>
      </c>
      <c r="D111" s="5" t="s">
        <v>454</v>
      </c>
      <c r="E111" s="6">
        <v>43070</v>
      </c>
      <c r="F111" s="7">
        <f t="shared" ca="1" si="0"/>
        <v>8</v>
      </c>
      <c r="G111" s="5" t="s">
        <v>93</v>
      </c>
      <c r="H111" s="5">
        <v>990372937</v>
      </c>
      <c r="I111" s="5" t="s">
        <v>23</v>
      </c>
      <c r="J111" s="5" t="s">
        <v>554</v>
      </c>
    </row>
    <row r="112" spans="1:10" ht="15.75" customHeight="1">
      <c r="A112" s="5" t="s">
        <v>555</v>
      </c>
      <c r="B112" s="5" t="s">
        <v>556</v>
      </c>
      <c r="C112" s="5" t="s">
        <v>557</v>
      </c>
      <c r="D112" s="5" t="s">
        <v>454</v>
      </c>
      <c r="E112" s="6">
        <v>42887</v>
      </c>
      <c r="F112" s="7">
        <f t="shared" ca="1" si="0"/>
        <v>8</v>
      </c>
      <c r="G112" s="5" t="s">
        <v>197</v>
      </c>
      <c r="H112" s="5">
        <v>937699036</v>
      </c>
      <c r="I112" s="5" t="s">
        <v>23</v>
      </c>
      <c r="J112" s="5" t="s">
        <v>558</v>
      </c>
    </row>
    <row r="113" spans="1:10" ht="15.75" customHeight="1">
      <c r="A113" s="5" t="s">
        <v>559</v>
      </c>
      <c r="B113" s="5" t="s">
        <v>560</v>
      </c>
      <c r="C113" s="5" t="s">
        <v>561</v>
      </c>
      <c r="D113" s="5" t="s">
        <v>454</v>
      </c>
      <c r="E113" s="6">
        <v>43177</v>
      </c>
      <c r="F113" s="7">
        <f t="shared" ca="1" si="0"/>
        <v>8</v>
      </c>
      <c r="G113" s="5" t="s">
        <v>562</v>
      </c>
      <c r="H113" s="5">
        <v>953356742</v>
      </c>
      <c r="I113" s="5" t="s">
        <v>23</v>
      </c>
      <c r="J113" s="5" t="s">
        <v>563</v>
      </c>
    </row>
    <row r="114" spans="1:10" ht="15.75" customHeight="1">
      <c r="A114" s="5" t="s">
        <v>564</v>
      </c>
      <c r="B114" s="5" t="s">
        <v>565</v>
      </c>
      <c r="C114" s="5" t="s">
        <v>566</v>
      </c>
      <c r="D114" s="5" t="s">
        <v>454</v>
      </c>
      <c r="E114" s="6">
        <v>42864</v>
      </c>
      <c r="F114" s="7">
        <f t="shared" ca="1" si="0"/>
        <v>8</v>
      </c>
      <c r="G114" s="5" t="s">
        <v>567</v>
      </c>
      <c r="H114" s="5">
        <v>961815736</v>
      </c>
      <c r="I114" s="5" t="s">
        <v>23</v>
      </c>
      <c r="J114" s="5" t="s">
        <v>568</v>
      </c>
    </row>
    <row r="115" spans="1:10" ht="15.75" customHeight="1">
      <c r="A115" s="5" t="s">
        <v>569</v>
      </c>
      <c r="B115" s="5" t="s">
        <v>570</v>
      </c>
      <c r="C115" s="5" t="s">
        <v>571</v>
      </c>
      <c r="D115" s="5" t="s">
        <v>454</v>
      </c>
      <c r="E115" s="6">
        <v>43032</v>
      </c>
      <c r="F115" s="7">
        <f t="shared" ca="1" si="0"/>
        <v>8</v>
      </c>
      <c r="G115" s="5" t="s">
        <v>572</v>
      </c>
      <c r="H115" s="5">
        <v>929656749</v>
      </c>
      <c r="I115" s="5" t="s">
        <v>23</v>
      </c>
      <c r="J115" s="5" t="s">
        <v>573</v>
      </c>
    </row>
    <row r="116" spans="1:10" ht="15.75" customHeight="1">
      <c r="A116" s="5" t="s">
        <v>574</v>
      </c>
      <c r="B116" s="5" t="s">
        <v>575</v>
      </c>
      <c r="C116" s="5" t="s">
        <v>576</v>
      </c>
      <c r="D116" s="5" t="s">
        <v>454</v>
      </c>
      <c r="E116" s="6">
        <v>43132</v>
      </c>
      <c r="F116" s="7">
        <f t="shared" ca="1" si="0"/>
        <v>8</v>
      </c>
      <c r="G116" s="5" t="s">
        <v>577</v>
      </c>
      <c r="H116" s="5">
        <v>950910648</v>
      </c>
      <c r="I116" s="5" t="s">
        <v>23</v>
      </c>
      <c r="J116" s="5" t="s">
        <v>578</v>
      </c>
    </row>
    <row r="117" spans="1:10" ht="15.75" customHeight="1">
      <c r="A117" s="5" t="s">
        <v>579</v>
      </c>
      <c r="B117" s="5" t="s">
        <v>580</v>
      </c>
      <c r="C117" s="5" t="s">
        <v>581</v>
      </c>
      <c r="D117" s="5" t="s">
        <v>454</v>
      </c>
      <c r="E117" s="6">
        <v>43183</v>
      </c>
      <c r="F117" s="7">
        <f t="shared" ca="1" si="0"/>
        <v>7</v>
      </c>
      <c r="G117" s="5" t="s">
        <v>582</v>
      </c>
      <c r="H117" s="5">
        <v>966273910</v>
      </c>
      <c r="I117" s="5" t="s">
        <v>23</v>
      </c>
      <c r="J117" s="5" t="s">
        <v>583</v>
      </c>
    </row>
    <row r="118" spans="1:10" ht="15.75" customHeight="1">
      <c r="A118" s="5" t="s">
        <v>584</v>
      </c>
      <c r="B118" s="5" t="s">
        <v>585</v>
      </c>
      <c r="C118" s="5" t="s">
        <v>586</v>
      </c>
      <c r="D118" s="5" t="s">
        <v>454</v>
      </c>
      <c r="E118" s="6">
        <v>42966</v>
      </c>
      <c r="F118" s="7">
        <f t="shared" ca="1" si="0"/>
        <v>8</v>
      </c>
      <c r="G118" s="5" t="s">
        <v>587</v>
      </c>
      <c r="H118" s="5">
        <v>949842054</v>
      </c>
      <c r="I118" s="5" t="s">
        <v>23</v>
      </c>
      <c r="J118" s="5" t="s">
        <v>588</v>
      </c>
    </row>
    <row r="119" spans="1:10" ht="15.75" customHeight="1">
      <c r="A119" s="5" t="s">
        <v>589</v>
      </c>
      <c r="B119" s="5" t="s">
        <v>590</v>
      </c>
      <c r="C119" s="5" t="s">
        <v>591</v>
      </c>
      <c r="D119" s="5" t="s">
        <v>454</v>
      </c>
      <c r="E119" s="6">
        <v>43015</v>
      </c>
      <c r="F119" s="7">
        <f t="shared" ca="1" si="0"/>
        <v>8</v>
      </c>
      <c r="G119" s="5" t="s">
        <v>592</v>
      </c>
      <c r="H119" s="5">
        <v>998562683</v>
      </c>
      <c r="I119" s="5" t="s">
        <v>23</v>
      </c>
      <c r="J119" s="5" t="s">
        <v>593</v>
      </c>
    </row>
    <row r="120" spans="1:10" ht="15.75" customHeight="1">
      <c r="A120" s="5" t="s">
        <v>594</v>
      </c>
      <c r="B120" s="5" t="s">
        <v>595</v>
      </c>
      <c r="C120" s="5" t="s">
        <v>596</v>
      </c>
      <c r="D120" s="5" t="s">
        <v>454</v>
      </c>
      <c r="E120" s="6">
        <v>43070</v>
      </c>
      <c r="F120" s="7">
        <f t="shared" ca="1" si="0"/>
        <v>8</v>
      </c>
      <c r="G120" s="5" t="s">
        <v>597</v>
      </c>
      <c r="H120" s="5">
        <v>926960542</v>
      </c>
      <c r="I120" s="5" t="s">
        <v>23</v>
      </c>
      <c r="J120" s="5" t="s">
        <v>598</v>
      </c>
    </row>
    <row r="121" spans="1:10" ht="15.75" customHeight="1">
      <c r="A121" s="5" t="s">
        <v>599</v>
      </c>
      <c r="B121" s="5" t="s">
        <v>600</v>
      </c>
      <c r="C121" s="5" t="s">
        <v>601</v>
      </c>
      <c r="D121" s="5" t="s">
        <v>602</v>
      </c>
      <c r="E121" s="6">
        <v>42719</v>
      </c>
      <c r="F121" s="7">
        <f t="shared" ca="1" si="0"/>
        <v>9</v>
      </c>
      <c r="G121" s="5" t="s">
        <v>22</v>
      </c>
      <c r="H121" s="5">
        <v>973566559</v>
      </c>
      <c r="I121" s="5" t="s">
        <v>23</v>
      </c>
      <c r="J121" s="5" t="s">
        <v>603</v>
      </c>
    </row>
    <row r="122" spans="1:10" ht="15.75" customHeight="1">
      <c r="A122" s="5" t="s">
        <v>604</v>
      </c>
      <c r="B122" s="5" t="s">
        <v>605</v>
      </c>
      <c r="C122" s="5" t="s">
        <v>606</v>
      </c>
      <c r="D122" s="5" t="s">
        <v>602</v>
      </c>
      <c r="E122" s="6">
        <v>42292</v>
      </c>
      <c r="F122" s="7">
        <f t="shared" ca="1" si="0"/>
        <v>10</v>
      </c>
      <c r="G122" s="5" t="s">
        <v>607</v>
      </c>
      <c r="H122" s="5">
        <v>972960299</v>
      </c>
      <c r="I122" s="5" t="s">
        <v>23</v>
      </c>
      <c r="J122" s="5" t="s">
        <v>608</v>
      </c>
    </row>
    <row r="123" spans="1:10" ht="15.75" customHeight="1">
      <c r="A123" s="5" t="s">
        <v>609</v>
      </c>
      <c r="B123" s="5" t="s">
        <v>610</v>
      </c>
      <c r="C123" s="5" t="s">
        <v>611</v>
      </c>
      <c r="D123" s="5" t="s">
        <v>602</v>
      </c>
      <c r="E123" s="6">
        <v>42292</v>
      </c>
      <c r="F123" s="7">
        <f t="shared" ca="1" si="0"/>
        <v>10</v>
      </c>
      <c r="G123" s="5" t="s">
        <v>607</v>
      </c>
      <c r="H123" s="5">
        <v>972960299</v>
      </c>
      <c r="I123" s="5" t="s">
        <v>23</v>
      </c>
      <c r="J123" s="5" t="s">
        <v>612</v>
      </c>
    </row>
    <row r="124" spans="1:10" ht="15.75" customHeight="1">
      <c r="A124" s="5" t="s">
        <v>613</v>
      </c>
      <c r="B124" s="5" t="s">
        <v>614</v>
      </c>
      <c r="C124" s="5" t="s">
        <v>615</v>
      </c>
      <c r="D124" s="5" t="s">
        <v>602</v>
      </c>
      <c r="E124" s="6">
        <v>42258</v>
      </c>
      <c r="F124" s="7">
        <f t="shared" ca="1" si="0"/>
        <v>10</v>
      </c>
      <c r="G124" s="5" t="s">
        <v>616</v>
      </c>
      <c r="H124" s="5">
        <v>965392136</v>
      </c>
      <c r="I124" s="5" t="s">
        <v>219</v>
      </c>
      <c r="J124" s="5" t="s">
        <v>617</v>
      </c>
    </row>
    <row r="125" spans="1:10" ht="15.75" customHeight="1">
      <c r="A125" s="5" t="s">
        <v>618</v>
      </c>
      <c r="B125" s="5" t="s">
        <v>619</v>
      </c>
      <c r="C125" s="5" t="s">
        <v>620</v>
      </c>
      <c r="D125" s="5" t="s">
        <v>602</v>
      </c>
      <c r="E125" s="6">
        <v>42818</v>
      </c>
      <c r="F125" s="7">
        <f t="shared" ca="1" si="0"/>
        <v>8</v>
      </c>
      <c r="G125" s="5" t="s">
        <v>621</v>
      </c>
      <c r="H125" s="5">
        <v>931327181</v>
      </c>
      <c r="I125" s="5" t="s">
        <v>23</v>
      </c>
      <c r="J125" s="5" t="s">
        <v>622</v>
      </c>
    </row>
    <row r="126" spans="1:10" ht="15.75" customHeight="1">
      <c r="A126" s="5" t="s">
        <v>623</v>
      </c>
      <c r="B126" s="5" t="s">
        <v>624</v>
      </c>
      <c r="C126" s="5" t="s">
        <v>625</v>
      </c>
      <c r="D126" s="5" t="s">
        <v>602</v>
      </c>
      <c r="E126" s="6">
        <v>42674</v>
      </c>
      <c r="F126" s="7">
        <f t="shared" ca="1" si="0"/>
        <v>9</v>
      </c>
      <c r="G126" s="5" t="s">
        <v>626</v>
      </c>
      <c r="H126" s="5">
        <v>930891324</v>
      </c>
      <c r="I126" s="5" t="s">
        <v>23</v>
      </c>
      <c r="J126" s="5" t="s">
        <v>627</v>
      </c>
    </row>
    <row r="127" spans="1:10" ht="15.75" customHeight="1">
      <c r="A127" s="5" t="s">
        <v>628</v>
      </c>
      <c r="B127" s="5" t="s">
        <v>629</v>
      </c>
      <c r="C127" s="5" t="s">
        <v>630</v>
      </c>
      <c r="D127" s="5" t="s">
        <v>602</v>
      </c>
      <c r="E127" s="6">
        <v>42521</v>
      </c>
      <c r="F127" s="7">
        <f t="shared" ca="1" si="0"/>
        <v>9</v>
      </c>
      <c r="G127" s="5" t="s">
        <v>631</v>
      </c>
      <c r="H127" s="5">
        <v>932653714</v>
      </c>
      <c r="I127" s="5" t="s">
        <v>23</v>
      </c>
      <c r="J127" s="5" t="s">
        <v>632</v>
      </c>
    </row>
    <row r="128" spans="1:10" ht="15.75" customHeight="1">
      <c r="A128" s="5" t="s">
        <v>633</v>
      </c>
      <c r="B128" s="5" t="s">
        <v>634</v>
      </c>
      <c r="C128" s="5" t="s">
        <v>635</v>
      </c>
      <c r="D128" s="5" t="s">
        <v>602</v>
      </c>
      <c r="E128" s="6">
        <v>42591</v>
      </c>
      <c r="F128" s="7">
        <f t="shared" ca="1" si="0"/>
        <v>9</v>
      </c>
      <c r="G128" s="5" t="s">
        <v>365</v>
      </c>
      <c r="H128" s="5">
        <v>933340887</v>
      </c>
      <c r="I128" s="5" t="s">
        <v>23</v>
      </c>
      <c r="J128" s="5" t="s">
        <v>366</v>
      </c>
    </row>
    <row r="129" spans="1:10" ht="15.75" customHeight="1">
      <c r="A129" s="5" t="s">
        <v>636</v>
      </c>
      <c r="B129" s="5" t="s">
        <v>637</v>
      </c>
      <c r="C129" s="5" t="s">
        <v>638</v>
      </c>
      <c r="D129" s="5" t="s">
        <v>602</v>
      </c>
      <c r="E129" s="6">
        <v>42476</v>
      </c>
      <c r="F129" s="7">
        <f t="shared" ca="1" si="0"/>
        <v>9</v>
      </c>
      <c r="G129" s="5" t="s">
        <v>639</v>
      </c>
      <c r="H129" s="5">
        <v>955141808</v>
      </c>
      <c r="I129" s="5" t="s">
        <v>23</v>
      </c>
      <c r="J129" s="5" t="s">
        <v>640</v>
      </c>
    </row>
    <row r="130" spans="1:10" ht="15.75" customHeight="1">
      <c r="A130" s="5" t="s">
        <v>641</v>
      </c>
      <c r="B130" s="5" t="s">
        <v>642</v>
      </c>
      <c r="C130" s="5" t="s">
        <v>643</v>
      </c>
      <c r="D130" s="5" t="s">
        <v>602</v>
      </c>
      <c r="E130" s="6">
        <v>42764</v>
      </c>
      <c r="F130" s="7">
        <f t="shared" ca="1" si="0"/>
        <v>9</v>
      </c>
      <c r="G130" s="5" t="s">
        <v>147</v>
      </c>
      <c r="H130" s="5">
        <v>969087063</v>
      </c>
      <c r="I130" s="5" t="s">
        <v>23</v>
      </c>
      <c r="J130" s="5" t="s">
        <v>644</v>
      </c>
    </row>
    <row r="131" spans="1:10" ht="15.75" customHeight="1">
      <c r="A131" s="5" t="s">
        <v>645</v>
      </c>
      <c r="B131" s="5" t="s">
        <v>646</v>
      </c>
      <c r="C131" s="5" t="s">
        <v>647</v>
      </c>
      <c r="D131" s="5" t="s">
        <v>602</v>
      </c>
      <c r="E131" s="6">
        <v>42566</v>
      </c>
      <c r="F131" s="7">
        <f t="shared" ca="1" si="0"/>
        <v>9</v>
      </c>
      <c r="G131" s="5" t="s">
        <v>648</v>
      </c>
      <c r="H131" s="5">
        <v>944290505</v>
      </c>
      <c r="I131" s="5" t="s">
        <v>23</v>
      </c>
      <c r="J131" s="5" t="s">
        <v>649</v>
      </c>
    </row>
    <row r="132" spans="1:10" ht="15.75" customHeight="1">
      <c r="A132" s="5" t="s">
        <v>650</v>
      </c>
      <c r="B132" s="5" t="s">
        <v>651</v>
      </c>
      <c r="C132" s="5" t="s">
        <v>652</v>
      </c>
      <c r="D132" s="5" t="s">
        <v>602</v>
      </c>
      <c r="E132" s="6">
        <v>42609</v>
      </c>
      <c r="F132" s="7">
        <f t="shared" ca="1" si="0"/>
        <v>9</v>
      </c>
      <c r="G132" s="5" t="s">
        <v>653</v>
      </c>
      <c r="H132" s="5">
        <v>920631699</v>
      </c>
      <c r="I132" s="5" t="s">
        <v>23</v>
      </c>
      <c r="J132" s="5" t="s">
        <v>531</v>
      </c>
    </row>
    <row r="133" spans="1:10" ht="15.75" customHeight="1">
      <c r="A133" s="5" t="s">
        <v>654</v>
      </c>
      <c r="B133" s="5" t="s">
        <v>655</v>
      </c>
      <c r="C133" s="5" t="s">
        <v>656</v>
      </c>
      <c r="D133" s="5" t="s">
        <v>602</v>
      </c>
      <c r="E133" s="6">
        <v>42685</v>
      </c>
      <c r="F133" s="7">
        <f t="shared" ca="1" si="0"/>
        <v>9</v>
      </c>
      <c r="G133" s="5" t="s">
        <v>657</v>
      </c>
      <c r="H133" s="5">
        <v>950180227</v>
      </c>
      <c r="I133" s="5" t="s">
        <v>23</v>
      </c>
      <c r="J133" s="5" t="s">
        <v>658</v>
      </c>
    </row>
    <row r="134" spans="1:10" ht="15.75" customHeight="1">
      <c r="A134" s="5" t="s">
        <v>659</v>
      </c>
      <c r="B134" s="5" t="s">
        <v>660</v>
      </c>
      <c r="C134" s="5" t="s">
        <v>661</v>
      </c>
      <c r="D134" s="5" t="s">
        <v>602</v>
      </c>
      <c r="E134" s="6">
        <v>42334</v>
      </c>
      <c r="F134" s="7">
        <f t="shared" ca="1" si="0"/>
        <v>10</v>
      </c>
      <c r="G134" s="5" t="s">
        <v>182</v>
      </c>
      <c r="H134" s="5">
        <v>948637293</v>
      </c>
      <c r="I134" s="5" t="s">
        <v>23</v>
      </c>
      <c r="J134" s="5" t="s">
        <v>662</v>
      </c>
    </row>
    <row r="135" spans="1:10" ht="15.75" customHeight="1">
      <c r="A135" s="5" t="s">
        <v>663</v>
      </c>
      <c r="B135" s="5" t="s">
        <v>664</v>
      </c>
      <c r="C135" s="5" t="s">
        <v>665</v>
      </c>
      <c r="D135" s="5" t="s">
        <v>602</v>
      </c>
      <c r="E135" s="6">
        <v>42498</v>
      </c>
      <c r="F135" s="7">
        <f t="shared" ca="1" si="0"/>
        <v>9</v>
      </c>
      <c r="G135" s="5" t="s">
        <v>666</v>
      </c>
      <c r="H135" s="5">
        <v>990372937</v>
      </c>
      <c r="I135" s="5" t="s">
        <v>23</v>
      </c>
      <c r="J135" s="5" t="s">
        <v>667</v>
      </c>
    </row>
    <row r="136" spans="1:10" ht="15.75" customHeight="1">
      <c r="A136" s="5" t="s">
        <v>668</v>
      </c>
      <c r="B136" s="5" t="s">
        <v>669</v>
      </c>
      <c r="C136" s="5" t="s">
        <v>670</v>
      </c>
      <c r="D136" s="5" t="s">
        <v>602</v>
      </c>
      <c r="E136" s="6">
        <v>42463</v>
      </c>
      <c r="F136" s="7">
        <f t="shared" ca="1" si="0"/>
        <v>9</v>
      </c>
      <c r="G136" s="5" t="s">
        <v>671</v>
      </c>
      <c r="H136" s="5">
        <v>968565240</v>
      </c>
      <c r="I136" s="5" t="s">
        <v>23</v>
      </c>
      <c r="J136" s="5" t="s">
        <v>672</v>
      </c>
    </row>
    <row r="137" spans="1:10" ht="15.75" customHeight="1">
      <c r="A137" s="5" t="s">
        <v>673</v>
      </c>
      <c r="B137" s="5" t="s">
        <v>674</v>
      </c>
      <c r="C137" s="5" t="s">
        <v>675</v>
      </c>
      <c r="D137" s="5" t="s">
        <v>602</v>
      </c>
      <c r="E137" s="6">
        <v>42534</v>
      </c>
      <c r="F137" s="7">
        <f t="shared" ca="1" si="0"/>
        <v>9</v>
      </c>
      <c r="G137" s="5" t="s">
        <v>78</v>
      </c>
      <c r="H137" s="5">
        <v>952006133</v>
      </c>
      <c r="I137" s="5" t="s">
        <v>23</v>
      </c>
      <c r="J137" s="5" t="s">
        <v>676</v>
      </c>
    </row>
    <row r="138" spans="1:10" ht="15.75" customHeight="1">
      <c r="A138" s="5" t="s">
        <v>677</v>
      </c>
      <c r="B138" s="5" t="s">
        <v>678</v>
      </c>
      <c r="C138" s="5" t="s">
        <v>679</v>
      </c>
      <c r="D138" s="5" t="s">
        <v>602</v>
      </c>
      <c r="E138" s="6">
        <v>42608</v>
      </c>
      <c r="F138" s="7">
        <f t="shared" ca="1" si="0"/>
        <v>9</v>
      </c>
      <c r="G138" s="5" t="s">
        <v>680</v>
      </c>
      <c r="H138" s="5">
        <v>961775157</v>
      </c>
      <c r="I138" s="5" t="s">
        <v>23</v>
      </c>
      <c r="J138" s="5" t="s">
        <v>681</v>
      </c>
    </row>
    <row r="139" spans="1:10" ht="15.75" customHeight="1">
      <c r="A139" s="5" t="s">
        <v>682</v>
      </c>
      <c r="B139" s="5" t="s">
        <v>683</v>
      </c>
      <c r="C139" s="5" t="s">
        <v>684</v>
      </c>
      <c r="D139" s="5" t="s">
        <v>602</v>
      </c>
      <c r="E139" s="6">
        <v>42599</v>
      </c>
      <c r="F139" s="7">
        <f t="shared" ca="1" si="0"/>
        <v>9</v>
      </c>
      <c r="G139" s="5" t="s">
        <v>685</v>
      </c>
      <c r="H139" s="5">
        <v>988121421</v>
      </c>
      <c r="I139" s="5" t="s">
        <v>23</v>
      </c>
      <c r="J139" s="5" t="s">
        <v>686</v>
      </c>
    </row>
    <row r="140" spans="1:10" ht="15.75" customHeight="1">
      <c r="A140" s="5" t="s">
        <v>687</v>
      </c>
      <c r="B140" s="5" t="s">
        <v>688</v>
      </c>
      <c r="C140" s="5" t="s">
        <v>689</v>
      </c>
      <c r="D140" s="5" t="s">
        <v>602</v>
      </c>
      <c r="E140" s="6">
        <v>42537</v>
      </c>
      <c r="F140" s="7">
        <f t="shared" ca="1" si="0"/>
        <v>9</v>
      </c>
      <c r="G140" s="5" t="s">
        <v>690</v>
      </c>
      <c r="H140" s="5">
        <v>937095755</v>
      </c>
      <c r="I140" s="5" t="s">
        <v>23</v>
      </c>
      <c r="J140" s="5" t="s">
        <v>691</v>
      </c>
    </row>
    <row r="141" spans="1:10" ht="15.75" customHeight="1">
      <c r="A141" s="5" t="s">
        <v>692</v>
      </c>
      <c r="B141" s="5" t="s">
        <v>693</v>
      </c>
      <c r="C141" s="5" t="s">
        <v>694</v>
      </c>
      <c r="D141" s="5" t="s">
        <v>602</v>
      </c>
      <c r="E141" s="6">
        <v>42476</v>
      </c>
      <c r="F141" s="7">
        <f t="shared" ca="1" si="0"/>
        <v>9</v>
      </c>
      <c r="G141" s="5" t="s">
        <v>695</v>
      </c>
      <c r="H141" s="5">
        <v>983216613</v>
      </c>
      <c r="I141" s="5" t="s">
        <v>696</v>
      </c>
      <c r="J141" s="5" t="s">
        <v>697</v>
      </c>
    </row>
    <row r="142" spans="1:10" ht="15.75" customHeight="1">
      <c r="A142" s="5" t="s">
        <v>698</v>
      </c>
      <c r="B142" s="5" t="s">
        <v>699</v>
      </c>
      <c r="C142" s="5" t="s">
        <v>700</v>
      </c>
      <c r="D142" s="5" t="s">
        <v>602</v>
      </c>
      <c r="E142" s="6">
        <v>42187</v>
      </c>
      <c r="F142" s="7">
        <f t="shared" ca="1" si="0"/>
        <v>10</v>
      </c>
      <c r="G142" s="5" t="s">
        <v>701</v>
      </c>
      <c r="H142" s="5">
        <v>929656749</v>
      </c>
      <c r="I142" s="5" t="s">
        <v>23</v>
      </c>
      <c r="J142" s="5" t="s">
        <v>573</v>
      </c>
    </row>
    <row r="143" spans="1:10" ht="15.75" customHeight="1">
      <c r="A143" s="5" t="s">
        <v>702</v>
      </c>
      <c r="B143" s="5" t="s">
        <v>703</v>
      </c>
      <c r="C143" s="5" t="s">
        <v>704</v>
      </c>
      <c r="D143" s="5" t="s">
        <v>602</v>
      </c>
      <c r="E143" s="6">
        <v>42714</v>
      </c>
      <c r="F143" s="7">
        <f t="shared" ca="1" si="0"/>
        <v>9</v>
      </c>
      <c r="G143" s="5" t="s">
        <v>705</v>
      </c>
      <c r="H143" s="5">
        <v>933462518</v>
      </c>
      <c r="I143" s="5" t="s">
        <v>23</v>
      </c>
      <c r="J143" s="5" t="s">
        <v>706</v>
      </c>
    </row>
    <row r="144" spans="1:10" ht="15.75" customHeight="1">
      <c r="A144" s="5" t="s">
        <v>707</v>
      </c>
      <c r="B144" s="5" t="s">
        <v>708</v>
      </c>
      <c r="C144" s="5" t="s">
        <v>709</v>
      </c>
      <c r="D144" s="5" t="s">
        <v>602</v>
      </c>
      <c r="E144" s="6">
        <v>42702</v>
      </c>
      <c r="F144" s="7">
        <f t="shared" ca="1" si="0"/>
        <v>9</v>
      </c>
      <c r="G144" s="5" t="s">
        <v>710</v>
      </c>
      <c r="H144" s="5">
        <v>920879400</v>
      </c>
      <c r="I144" s="5" t="s">
        <v>23</v>
      </c>
      <c r="J144" s="5" t="s">
        <v>711</v>
      </c>
    </row>
    <row r="145" spans="1:10" ht="15.75" customHeight="1">
      <c r="A145" s="5" t="s">
        <v>712</v>
      </c>
      <c r="B145" s="5" t="s">
        <v>713</v>
      </c>
      <c r="C145" s="5" t="s">
        <v>714</v>
      </c>
      <c r="D145" s="5" t="s">
        <v>602</v>
      </c>
      <c r="E145" s="6">
        <v>42592</v>
      </c>
      <c r="F145" s="7">
        <f t="shared" ca="1" si="0"/>
        <v>9</v>
      </c>
      <c r="G145" s="5" t="s">
        <v>577</v>
      </c>
      <c r="H145" s="5">
        <v>950910648</v>
      </c>
      <c r="I145" s="5" t="s">
        <v>23</v>
      </c>
      <c r="J145" s="5" t="s">
        <v>715</v>
      </c>
    </row>
    <row r="146" spans="1:10" ht="15.75" customHeight="1">
      <c r="A146" s="5" t="s">
        <v>716</v>
      </c>
      <c r="B146" s="5" t="s">
        <v>717</v>
      </c>
      <c r="C146" s="5" t="s">
        <v>718</v>
      </c>
      <c r="D146" s="5" t="s">
        <v>602</v>
      </c>
      <c r="E146" s="6">
        <v>42387</v>
      </c>
      <c r="F146" s="7">
        <f t="shared" ca="1" si="0"/>
        <v>10</v>
      </c>
      <c r="G146" s="5" t="s">
        <v>719</v>
      </c>
      <c r="H146" s="5">
        <v>939534120</v>
      </c>
      <c r="I146" s="5" t="s">
        <v>23</v>
      </c>
      <c r="J146" s="5" t="s">
        <v>720</v>
      </c>
    </row>
    <row r="147" spans="1:10" ht="15.75" customHeight="1">
      <c r="A147" s="5" t="s">
        <v>721</v>
      </c>
      <c r="B147" s="5" t="s">
        <v>722</v>
      </c>
      <c r="C147" s="5" t="s">
        <v>723</v>
      </c>
      <c r="D147" s="5" t="s">
        <v>602</v>
      </c>
      <c r="E147" s="6">
        <v>42556</v>
      </c>
      <c r="F147" s="7">
        <f t="shared" ca="1" si="0"/>
        <v>9</v>
      </c>
      <c r="G147" s="5" t="s">
        <v>449</v>
      </c>
      <c r="H147" s="5">
        <v>957750149</v>
      </c>
      <c r="I147" s="5" t="s">
        <v>219</v>
      </c>
      <c r="J147" s="5" t="s">
        <v>450</v>
      </c>
    </row>
    <row r="148" spans="1:10" ht="15.75" customHeight="1">
      <c r="A148" s="5" t="s">
        <v>724</v>
      </c>
      <c r="B148" s="5" t="s">
        <v>725</v>
      </c>
      <c r="C148" s="5" t="s">
        <v>726</v>
      </c>
      <c r="D148" s="5" t="s">
        <v>602</v>
      </c>
      <c r="E148" s="6">
        <v>42691</v>
      </c>
      <c r="F148" s="7">
        <f t="shared" ca="1" si="0"/>
        <v>9</v>
      </c>
      <c r="G148" s="5" t="s">
        <v>727</v>
      </c>
      <c r="H148" s="5">
        <v>957622848</v>
      </c>
      <c r="I148" s="5" t="s">
        <v>23</v>
      </c>
      <c r="J148" s="5" t="s">
        <v>728</v>
      </c>
    </row>
    <row r="149" spans="1:10" ht="15.75" customHeight="1">
      <c r="A149" s="5" t="s">
        <v>729</v>
      </c>
      <c r="B149" s="5" t="s">
        <v>730</v>
      </c>
      <c r="C149" s="5" t="s">
        <v>731</v>
      </c>
      <c r="D149" s="5" t="s">
        <v>732</v>
      </c>
      <c r="E149" s="6">
        <v>42281</v>
      </c>
      <c r="F149" s="7">
        <f t="shared" ca="1" si="0"/>
        <v>10</v>
      </c>
      <c r="G149" s="5" t="s">
        <v>733</v>
      </c>
      <c r="H149" s="5">
        <v>946736226</v>
      </c>
      <c r="I149" s="5" t="s">
        <v>23</v>
      </c>
      <c r="J149" s="5" t="s">
        <v>734</v>
      </c>
    </row>
    <row r="150" spans="1:10" ht="15.75" customHeight="1">
      <c r="A150" s="5" t="s">
        <v>735</v>
      </c>
      <c r="B150" s="5" t="s">
        <v>736</v>
      </c>
      <c r="C150" s="5" t="s">
        <v>737</v>
      </c>
      <c r="D150" s="5" t="s">
        <v>732</v>
      </c>
      <c r="E150" s="6">
        <v>42108</v>
      </c>
      <c r="F150" s="7">
        <f t="shared" ca="1" si="0"/>
        <v>10</v>
      </c>
      <c r="G150" s="5" t="s">
        <v>738</v>
      </c>
      <c r="H150" s="5">
        <v>978400696</v>
      </c>
      <c r="I150" s="5" t="s">
        <v>23</v>
      </c>
      <c r="J150" s="5" t="s">
        <v>739</v>
      </c>
    </row>
    <row r="151" spans="1:10" ht="15.75" customHeight="1">
      <c r="A151" s="5" t="s">
        <v>740</v>
      </c>
      <c r="B151" s="5" t="s">
        <v>741</v>
      </c>
      <c r="C151" s="5" t="s">
        <v>742</v>
      </c>
      <c r="D151" s="5" t="s">
        <v>732</v>
      </c>
      <c r="E151" s="6">
        <v>42108</v>
      </c>
      <c r="F151" s="7">
        <f t="shared" ca="1" si="0"/>
        <v>10</v>
      </c>
      <c r="G151" s="5" t="s">
        <v>738</v>
      </c>
      <c r="H151" s="5">
        <v>988193324</v>
      </c>
      <c r="I151" s="5" t="s">
        <v>23</v>
      </c>
      <c r="J151" s="5" t="s">
        <v>739</v>
      </c>
    </row>
    <row r="152" spans="1:10" ht="15.75" customHeight="1">
      <c r="A152" s="5" t="s">
        <v>743</v>
      </c>
      <c r="B152" s="5" t="s">
        <v>744</v>
      </c>
      <c r="C152" s="5" t="s">
        <v>745</v>
      </c>
      <c r="D152" s="5" t="s">
        <v>732</v>
      </c>
      <c r="E152" s="6">
        <v>42411</v>
      </c>
      <c r="F152" s="7">
        <f t="shared" ca="1" si="0"/>
        <v>10</v>
      </c>
      <c r="G152" s="5" t="s">
        <v>746</v>
      </c>
      <c r="H152" s="5">
        <v>995169718</v>
      </c>
      <c r="I152" s="5" t="s">
        <v>23</v>
      </c>
      <c r="J152" s="5" t="s">
        <v>747</v>
      </c>
    </row>
    <row r="153" spans="1:10" ht="15.75" customHeight="1">
      <c r="A153" s="5" t="s">
        <v>748</v>
      </c>
      <c r="B153" s="5" t="s">
        <v>749</v>
      </c>
      <c r="C153" s="5" t="s">
        <v>750</v>
      </c>
      <c r="D153" s="5" t="s">
        <v>732</v>
      </c>
      <c r="E153" s="6">
        <v>42423</v>
      </c>
      <c r="F153" s="7">
        <f t="shared" ca="1" si="0"/>
        <v>10</v>
      </c>
      <c r="G153" s="5" t="s">
        <v>751</v>
      </c>
      <c r="H153" s="5">
        <v>986547354</v>
      </c>
      <c r="I153" s="5" t="s">
        <v>752</v>
      </c>
      <c r="J153" s="5" t="s">
        <v>753</v>
      </c>
    </row>
    <row r="154" spans="1:10" ht="15.75" customHeight="1">
      <c r="A154" s="5" t="s">
        <v>754</v>
      </c>
      <c r="B154" s="5" t="s">
        <v>755</v>
      </c>
      <c r="C154" s="5" t="s">
        <v>756</v>
      </c>
      <c r="D154" s="5" t="s">
        <v>732</v>
      </c>
      <c r="E154" s="6">
        <v>42110</v>
      </c>
      <c r="F154" s="7">
        <f t="shared" ca="1" si="0"/>
        <v>10</v>
      </c>
      <c r="G154" s="5" t="s">
        <v>757</v>
      </c>
      <c r="H154" s="5">
        <v>937319030</v>
      </c>
      <c r="I154" s="5" t="s">
        <v>23</v>
      </c>
      <c r="J154" s="5" t="s">
        <v>758</v>
      </c>
    </row>
    <row r="155" spans="1:10" ht="15.75" customHeight="1">
      <c r="A155" s="5" t="s">
        <v>759</v>
      </c>
      <c r="B155" s="5" t="s">
        <v>760</v>
      </c>
      <c r="C155" s="5" t="s">
        <v>761</v>
      </c>
      <c r="D155" s="5" t="s">
        <v>732</v>
      </c>
      <c r="E155" s="6">
        <v>41584</v>
      </c>
      <c r="F155" s="7">
        <f t="shared" ca="1" si="0"/>
        <v>12</v>
      </c>
      <c r="G155" s="5" t="s">
        <v>762</v>
      </c>
      <c r="H155" s="5">
        <v>978128602</v>
      </c>
      <c r="I155" s="5" t="s">
        <v>763</v>
      </c>
      <c r="J155" s="5" t="s">
        <v>764</v>
      </c>
    </row>
    <row r="156" spans="1:10" ht="15.75" customHeight="1">
      <c r="A156" s="5" t="s">
        <v>765</v>
      </c>
      <c r="B156" s="5" t="s">
        <v>766</v>
      </c>
      <c r="C156" s="5" t="s">
        <v>767</v>
      </c>
      <c r="D156" s="5" t="s">
        <v>732</v>
      </c>
      <c r="E156" s="8">
        <v>41846</v>
      </c>
      <c r="F156" s="7">
        <f t="shared" ca="1" si="0"/>
        <v>11</v>
      </c>
      <c r="G156" s="5" t="s">
        <v>505</v>
      </c>
      <c r="H156" s="5">
        <v>978846048</v>
      </c>
      <c r="I156" s="5" t="s">
        <v>23</v>
      </c>
      <c r="J156" s="5" t="s">
        <v>768</v>
      </c>
    </row>
    <row r="157" spans="1:10" ht="15.75" customHeight="1">
      <c r="A157" s="5" t="s">
        <v>769</v>
      </c>
      <c r="B157" s="5" t="s">
        <v>770</v>
      </c>
      <c r="C157" s="5" t="s">
        <v>771</v>
      </c>
      <c r="D157" s="5" t="s">
        <v>732</v>
      </c>
      <c r="E157" s="6">
        <v>42319</v>
      </c>
      <c r="F157" s="7">
        <f t="shared" ca="1" si="0"/>
        <v>10</v>
      </c>
      <c r="G157" s="5" t="s">
        <v>772</v>
      </c>
      <c r="H157" s="5">
        <v>931422426</v>
      </c>
      <c r="I157" s="5" t="s">
        <v>23</v>
      </c>
      <c r="J157" s="5" t="s">
        <v>773</v>
      </c>
    </row>
    <row r="158" spans="1:10" ht="15.75" customHeight="1">
      <c r="A158" s="5" t="s">
        <v>774</v>
      </c>
      <c r="B158" s="9" t="s">
        <v>775</v>
      </c>
      <c r="C158" s="9" t="s">
        <v>776</v>
      </c>
      <c r="D158" s="5" t="s">
        <v>732</v>
      </c>
      <c r="E158" s="8">
        <v>42205</v>
      </c>
      <c r="F158" s="7">
        <f t="shared" ca="1" si="0"/>
        <v>10</v>
      </c>
      <c r="G158" s="9" t="s">
        <v>777</v>
      </c>
      <c r="H158" s="9">
        <v>932810601</v>
      </c>
      <c r="I158" s="5" t="s">
        <v>23</v>
      </c>
      <c r="J158" s="9" t="s">
        <v>778</v>
      </c>
    </row>
    <row r="159" spans="1:10" ht="15.75" customHeight="1">
      <c r="A159" s="5" t="s">
        <v>779</v>
      </c>
      <c r="B159" s="9" t="s">
        <v>780</v>
      </c>
      <c r="C159" s="9" t="s">
        <v>781</v>
      </c>
      <c r="D159" s="5" t="s">
        <v>732</v>
      </c>
      <c r="E159" s="8">
        <v>42153</v>
      </c>
      <c r="F159" s="7">
        <f t="shared" ca="1" si="0"/>
        <v>10</v>
      </c>
      <c r="G159" s="9" t="s">
        <v>782</v>
      </c>
      <c r="H159" s="9">
        <v>978626778</v>
      </c>
      <c r="I159" s="9" t="s">
        <v>219</v>
      </c>
      <c r="J159" s="9" t="s">
        <v>783</v>
      </c>
    </row>
    <row r="160" spans="1:10" ht="15.75" customHeight="1">
      <c r="A160" s="5" t="s">
        <v>784</v>
      </c>
      <c r="B160" s="9" t="s">
        <v>785</v>
      </c>
      <c r="C160" s="9" t="s">
        <v>786</v>
      </c>
      <c r="D160" s="5" t="s">
        <v>732</v>
      </c>
      <c r="E160" s="8">
        <v>42440</v>
      </c>
      <c r="F160" s="7">
        <f t="shared" ca="1" si="0"/>
        <v>10</v>
      </c>
      <c r="G160" s="9" t="s">
        <v>378</v>
      </c>
      <c r="H160" s="9">
        <v>931128123</v>
      </c>
      <c r="I160" s="9" t="s">
        <v>23</v>
      </c>
      <c r="J160" s="9" t="s">
        <v>379</v>
      </c>
    </row>
    <row r="161" spans="1:10" ht="15.75" customHeight="1">
      <c r="A161" s="5" t="s">
        <v>787</v>
      </c>
      <c r="B161" s="9" t="s">
        <v>788</v>
      </c>
      <c r="C161" s="9" t="s">
        <v>789</v>
      </c>
      <c r="D161" s="5" t="s">
        <v>732</v>
      </c>
      <c r="E161" s="8">
        <v>42437</v>
      </c>
      <c r="F161" s="7">
        <f t="shared" ca="1" si="0"/>
        <v>10</v>
      </c>
      <c r="G161" s="9" t="s">
        <v>790</v>
      </c>
      <c r="H161" s="9">
        <v>965272109</v>
      </c>
      <c r="I161" s="5" t="s">
        <v>23</v>
      </c>
      <c r="J161" s="9" t="s">
        <v>791</v>
      </c>
    </row>
    <row r="162" spans="1:10" ht="15.75" customHeight="1">
      <c r="A162" s="5" t="s">
        <v>792</v>
      </c>
      <c r="B162" s="9" t="s">
        <v>793</v>
      </c>
      <c r="C162" s="9" t="s">
        <v>794</v>
      </c>
      <c r="D162" s="5" t="s">
        <v>732</v>
      </c>
      <c r="E162" s="8">
        <v>42392</v>
      </c>
      <c r="F162" s="7">
        <f t="shared" ca="1" si="0"/>
        <v>10</v>
      </c>
      <c r="G162" s="9" t="s">
        <v>795</v>
      </c>
      <c r="H162" s="9">
        <v>956263336</v>
      </c>
      <c r="I162" s="5" t="s">
        <v>23</v>
      </c>
      <c r="J162" s="9" t="s">
        <v>796</v>
      </c>
    </row>
    <row r="163" spans="1:10" ht="15.75" customHeight="1">
      <c r="A163" s="5" t="s">
        <v>797</v>
      </c>
      <c r="B163" s="9" t="s">
        <v>798</v>
      </c>
      <c r="C163" s="9" t="s">
        <v>799</v>
      </c>
      <c r="D163" s="5" t="s">
        <v>732</v>
      </c>
      <c r="E163" s="8">
        <v>42300</v>
      </c>
      <c r="F163" s="7">
        <f t="shared" ca="1" si="0"/>
        <v>10</v>
      </c>
      <c r="G163" s="9" t="s">
        <v>800</v>
      </c>
      <c r="H163" s="9">
        <v>962662496</v>
      </c>
      <c r="I163" s="5" t="s">
        <v>23</v>
      </c>
      <c r="J163" s="9" t="s">
        <v>801</v>
      </c>
    </row>
    <row r="164" spans="1:10" ht="15.75" customHeight="1">
      <c r="A164" s="5" t="s">
        <v>802</v>
      </c>
      <c r="B164" s="9" t="s">
        <v>803</v>
      </c>
      <c r="C164" s="9" t="s">
        <v>804</v>
      </c>
      <c r="D164" s="5" t="s">
        <v>732</v>
      </c>
      <c r="E164" s="8">
        <v>42273</v>
      </c>
      <c r="F164" s="7">
        <f t="shared" ca="1" si="0"/>
        <v>10</v>
      </c>
      <c r="G164" s="9" t="s">
        <v>805</v>
      </c>
      <c r="H164" s="9">
        <v>936893339</v>
      </c>
      <c r="I164" s="5" t="s">
        <v>23</v>
      </c>
      <c r="J164" s="9" t="s">
        <v>806</v>
      </c>
    </row>
    <row r="165" spans="1:10" ht="15.75" customHeight="1">
      <c r="A165" s="5" t="s">
        <v>807</v>
      </c>
      <c r="B165" s="9" t="s">
        <v>808</v>
      </c>
      <c r="C165" s="9" t="s">
        <v>809</v>
      </c>
      <c r="D165" s="5" t="s">
        <v>732</v>
      </c>
      <c r="E165" s="8">
        <v>42073</v>
      </c>
      <c r="F165" s="7">
        <f t="shared" ca="1" si="0"/>
        <v>11</v>
      </c>
      <c r="G165" s="9" t="s">
        <v>810</v>
      </c>
      <c r="H165" s="9">
        <v>976738557</v>
      </c>
      <c r="I165" s="9" t="s">
        <v>219</v>
      </c>
      <c r="J165" s="9" t="s">
        <v>811</v>
      </c>
    </row>
    <row r="166" spans="1:10" ht="15.75" customHeight="1">
      <c r="A166" s="5" t="s">
        <v>812</v>
      </c>
      <c r="B166" s="9" t="s">
        <v>813</v>
      </c>
      <c r="C166" s="9" t="s">
        <v>814</v>
      </c>
      <c r="D166" s="5" t="s">
        <v>732</v>
      </c>
      <c r="E166" s="8">
        <v>42212</v>
      </c>
      <c r="F166" s="7">
        <f t="shared" ca="1" si="0"/>
        <v>10</v>
      </c>
      <c r="G166" s="9" t="s">
        <v>815</v>
      </c>
      <c r="H166" s="9">
        <v>977315179</v>
      </c>
      <c r="I166" s="9" t="s">
        <v>816</v>
      </c>
      <c r="J166" s="9" t="s">
        <v>817</v>
      </c>
    </row>
    <row r="167" spans="1:10" ht="15.75" customHeight="1">
      <c r="A167" s="5" t="s">
        <v>818</v>
      </c>
      <c r="B167" s="9" t="s">
        <v>819</v>
      </c>
      <c r="C167" s="9" t="s">
        <v>820</v>
      </c>
      <c r="D167" s="5" t="s">
        <v>732</v>
      </c>
      <c r="E167" s="8">
        <v>42009</v>
      </c>
      <c r="F167" s="7">
        <f t="shared" ca="1" si="0"/>
        <v>11</v>
      </c>
      <c r="G167" s="9" t="s">
        <v>821</v>
      </c>
      <c r="H167" s="9">
        <v>949314798</v>
      </c>
      <c r="I167" s="5" t="s">
        <v>23</v>
      </c>
      <c r="J167" s="9" t="s">
        <v>822</v>
      </c>
    </row>
    <row r="168" spans="1:10" ht="15.75" customHeight="1">
      <c r="A168" s="5" t="s">
        <v>823</v>
      </c>
      <c r="B168" s="9" t="s">
        <v>824</v>
      </c>
      <c r="C168" s="9" t="s">
        <v>825</v>
      </c>
      <c r="D168" s="5" t="s">
        <v>732</v>
      </c>
      <c r="E168" s="8">
        <v>42422</v>
      </c>
      <c r="F168" s="7">
        <f t="shared" ca="1" si="0"/>
        <v>10</v>
      </c>
      <c r="G168" s="9" t="s">
        <v>826</v>
      </c>
      <c r="H168" s="9">
        <v>935556023</v>
      </c>
      <c r="I168" s="5" t="s">
        <v>23</v>
      </c>
      <c r="J168" s="9" t="s">
        <v>827</v>
      </c>
    </row>
    <row r="169" spans="1:10" ht="15.75" customHeight="1">
      <c r="A169" s="5" t="s">
        <v>828</v>
      </c>
      <c r="B169" s="9" t="s">
        <v>829</v>
      </c>
      <c r="C169" s="9" t="s">
        <v>830</v>
      </c>
      <c r="D169" s="5" t="s">
        <v>732</v>
      </c>
      <c r="E169" s="8">
        <v>42235</v>
      </c>
      <c r="F169" s="7">
        <f t="shared" ca="1" si="0"/>
        <v>10</v>
      </c>
      <c r="G169" s="9" t="s">
        <v>831</v>
      </c>
      <c r="H169" s="9">
        <v>972837794</v>
      </c>
      <c r="I169" s="5" t="s">
        <v>23</v>
      </c>
      <c r="J169" s="9" t="s">
        <v>832</v>
      </c>
    </row>
    <row r="170" spans="1:10" ht="15.75" customHeight="1">
      <c r="A170" s="5" t="s">
        <v>833</v>
      </c>
      <c r="B170" s="9" t="s">
        <v>834</v>
      </c>
      <c r="C170" s="9" t="s">
        <v>835</v>
      </c>
      <c r="D170" s="5" t="s">
        <v>732</v>
      </c>
      <c r="E170" s="8">
        <v>42118</v>
      </c>
      <c r="F170" s="7">
        <f t="shared" ca="1" si="0"/>
        <v>10</v>
      </c>
      <c r="G170" s="9" t="s">
        <v>836</v>
      </c>
      <c r="H170" s="9">
        <v>926376553</v>
      </c>
      <c r="I170" s="5" t="s">
        <v>23</v>
      </c>
      <c r="J170" s="9" t="s">
        <v>837</v>
      </c>
    </row>
    <row r="171" spans="1:10" ht="15.75" customHeight="1">
      <c r="A171" s="5" t="s">
        <v>838</v>
      </c>
      <c r="B171" s="9" t="s">
        <v>839</v>
      </c>
      <c r="C171" s="9" t="s">
        <v>840</v>
      </c>
      <c r="D171" s="5" t="s">
        <v>732</v>
      </c>
      <c r="E171" s="8">
        <v>42284</v>
      </c>
      <c r="F171" s="7">
        <f t="shared" ca="1" si="0"/>
        <v>10</v>
      </c>
      <c r="G171" s="9" t="s">
        <v>425</v>
      </c>
      <c r="H171" s="9">
        <v>956110902</v>
      </c>
      <c r="I171" s="5" t="s">
        <v>23</v>
      </c>
      <c r="J171" s="9" t="s">
        <v>841</v>
      </c>
    </row>
    <row r="172" spans="1:10" ht="15.75" customHeight="1">
      <c r="A172" s="5" t="s">
        <v>842</v>
      </c>
      <c r="B172" s="9" t="s">
        <v>843</v>
      </c>
      <c r="C172" s="9" t="s">
        <v>844</v>
      </c>
      <c r="D172" s="5" t="s">
        <v>732</v>
      </c>
      <c r="E172" s="8">
        <v>42195</v>
      </c>
      <c r="F172" s="7">
        <f t="shared" ca="1" si="0"/>
        <v>10</v>
      </c>
      <c r="G172" s="9" t="s">
        <v>710</v>
      </c>
      <c r="H172" s="9">
        <v>920879400</v>
      </c>
      <c r="I172" s="5" t="s">
        <v>23</v>
      </c>
      <c r="J172" s="9" t="s">
        <v>845</v>
      </c>
    </row>
    <row r="173" spans="1:10" ht="15.75" customHeight="1">
      <c r="A173" s="5" t="s">
        <v>846</v>
      </c>
      <c r="B173" s="9" t="s">
        <v>847</v>
      </c>
      <c r="C173" s="9" t="s">
        <v>848</v>
      </c>
      <c r="D173" s="5" t="s">
        <v>732</v>
      </c>
      <c r="E173" s="8">
        <v>42423</v>
      </c>
      <c r="F173" s="7">
        <f t="shared" ca="1" si="0"/>
        <v>10</v>
      </c>
      <c r="G173" s="9" t="s">
        <v>849</v>
      </c>
      <c r="H173" s="9">
        <v>947396084</v>
      </c>
      <c r="I173" s="5" t="s">
        <v>23</v>
      </c>
      <c r="J173" s="9" t="s">
        <v>850</v>
      </c>
    </row>
    <row r="174" spans="1:10" ht="15.75" customHeight="1">
      <c r="A174" s="5" t="s">
        <v>851</v>
      </c>
      <c r="B174" s="9" t="s">
        <v>852</v>
      </c>
      <c r="C174" s="9" t="s">
        <v>853</v>
      </c>
      <c r="D174" s="5" t="s">
        <v>732</v>
      </c>
      <c r="E174" s="8">
        <v>42320</v>
      </c>
      <c r="F174" s="7">
        <f t="shared" ca="1" si="0"/>
        <v>10</v>
      </c>
      <c r="G174" s="9" t="s">
        <v>854</v>
      </c>
      <c r="H174" s="9">
        <v>982911452</v>
      </c>
      <c r="I174" s="5" t="s">
        <v>23</v>
      </c>
      <c r="J174" s="9" t="s">
        <v>855</v>
      </c>
    </row>
    <row r="175" spans="1:10" ht="15.75" customHeight="1">
      <c r="A175" s="5" t="s">
        <v>856</v>
      </c>
      <c r="B175" s="9" t="s">
        <v>857</v>
      </c>
      <c r="C175" s="9" t="s">
        <v>858</v>
      </c>
      <c r="D175" s="5" t="s">
        <v>732</v>
      </c>
      <c r="E175" s="8">
        <v>42247</v>
      </c>
      <c r="F175" s="7">
        <f t="shared" ca="1" si="0"/>
        <v>10</v>
      </c>
      <c r="G175" s="9" t="s">
        <v>859</v>
      </c>
      <c r="H175" s="9">
        <v>989487065</v>
      </c>
      <c r="I175" s="5" t="s">
        <v>23</v>
      </c>
      <c r="J175" s="9" t="s">
        <v>860</v>
      </c>
    </row>
    <row r="176" spans="1:10" ht="15.75" customHeight="1">
      <c r="A176" s="5" t="s">
        <v>861</v>
      </c>
      <c r="B176" s="9" t="s">
        <v>862</v>
      </c>
      <c r="C176" s="9" t="s">
        <v>863</v>
      </c>
      <c r="D176" s="5" t="s">
        <v>732</v>
      </c>
      <c r="E176" s="8">
        <v>42351</v>
      </c>
      <c r="F176" s="7">
        <f t="shared" ca="1" si="0"/>
        <v>10</v>
      </c>
      <c r="G176" s="9" t="s">
        <v>864</v>
      </c>
      <c r="H176" s="9">
        <v>985116173</v>
      </c>
      <c r="I176" s="5" t="s">
        <v>23</v>
      </c>
      <c r="J176" s="9" t="s">
        <v>865</v>
      </c>
    </row>
    <row r="177" spans="1:10" ht="15.75" customHeight="1">
      <c r="A177" s="9" t="s">
        <v>866</v>
      </c>
      <c r="B177" s="9" t="s">
        <v>867</v>
      </c>
      <c r="C177" s="9" t="s">
        <v>868</v>
      </c>
      <c r="D177" s="9" t="s">
        <v>869</v>
      </c>
      <c r="E177" s="8">
        <v>41901</v>
      </c>
      <c r="F177" s="7">
        <f t="shared" ca="1" si="0"/>
        <v>11</v>
      </c>
      <c r="G177" s="9" t="s">
        <v>870</v>
      </c>
      <c r="H177" s="9">
        <v>939202495</v>
      </c>
      <c r="I177" s="9" t="s">
        <v>219</v>
      </c>
      <c r="J177" s="9" t="s">
        <v>871</v>
      </c>
    </row>
    <row r="178" spans="1:10" ht="15.75" customHeight="1">
      <c r="A178" s="9" t="s">
        <v>872</v>
      </c>
      <c r="B178" s="9" t="s">
        <v>873</v>
      </c>
      <c r="C178" s="9" t="s">
        <v>874</v>
      </c>
      <c r="D178" s="9" t="s">
        <v>869</v>
      </c>
      <c r="E178" s="8">
        <v>41916</v>
      </c>
      <c r="F178" s="7">
        <f t="shared" ca="1" si="0"/>
        <v>11</v>
      </c>
      <c r="G178" s="9" t="s">
        <v>875</v>
      </c>
      <c r="H178" s="9">
        <v>957258095</v>
      </c>
      <c r="I178" s="9" t="s">
        <v>219</v>
      </c>
      <c r="J178" s="9" t="s">
        <v>876</v>
      </c>
    </row>
    <row r="179" spans="1:10" ht="15.75" customHeight="1">
      <c r="A179" s="9" t="s">
        <v>877</v>
      </c>
      <c r="B179" s="9" t="s">
        <v>878</v>
      </c>
      <c r="C179" s="9" t="s">
        <v>879</v>
      </c>
      <c r="D179" s="9" t="s">
        <v>869</v>
      </c>
      <c r="E179" s="8">
        <v>41836</v>
      </c>
      <c r="F179" s="7">
        <f t="shared" ca="1" si="0"/>
        <v>11</v>
      </c>
      <c r="G179" s="9" t="s">
        <v>880</v>
      </c>
      <c r="H179" s="9">
        <v>977154774</v>
      </c>
      <c r="I179" s="9" t="s">
        <v>23</v>
      </c>
      <c r="J179" s="9" t="s">
        <v>881</v>
      </c>
    </row>
    <row r="180" spans="1:10" ht="15.75" customHeight="1">
      <c r="A180" s="9" t="s">
        <v>882</v>
      </c>
      <c r="B180" s="9" t="s">
        <v>883</v>
      </c>
      <c r="C180" s="9" t="s">
        <v>884</v>
      </c>
      <c r="D180" s="9" t="s">
        <v>869</v>
      </c>
      <c r="E180" s="8">
        <v>41854</v>
      </c>
      <c r="F180" s="7">
        <f t="shared" ca="1" si="0"/>
        <v>11</v>
      </c>
      <c r="G180" s="9" t="s">
        <v>885</v>
      </c>
      <c r="H180" s="9">
        <v>971520852</v>
      </c>
      <c r="I180" s="9" t="s">
        <v>23</v>
      </c>
      <c r="J180" s="9" t="s">
        <v>536</v>
      </c>
    </row>
    <row r="181" spans="1:10" ht="15.75" customHeight="1">
      <c r="A181" s="9" t="s">
        <v>886</v>
      </c>
      <c r="B181" s="9" t="s">
        <v>887</v>
      </c>
      <c r="C181" s="9" t="s">
        <v>888</v>
      </c>
      <c r="D181" s="9" t="s">
        <v>869</v>
      </c>
      <c r="E181" s="8">
        <v>41840</v>
      </c>
      <c r="F181" s="7">
        <f t="shared" ca="1" si="0"/>
        <v>11</v>
      </c>
      <c r="G181" s="9" t="s">
        <v>243</v>
      </c>
      <c r="H181" s="9">
        <v>966198645</v>
      </c>
      <c r="I181" s="9" t="s">
        <v>23</v>
      </c>
      <c r="J181" s="9" t="s">
        <v>889</v>
      </c>
    </row>
    <row r="182" spans="1:10" ht="15.75" customHeight="1">
      <c r="A182" s="9" t="s">
        <v>890</v>
      </c>
      <c r="B182" s="9" t="s">
        <v>891</v>
      </c>
      <c r="C182" s="9" t="s">
        <v>892</v>
      </c>
      <c r="D182" s="9" t="s">
        <v>869</v>
      </c>
      <c r="E182" s="8">
        <v>41915</v>
      </c>
      <c r="F182" s="7">
        <f t="shared" ca="1" si="0"/>
        <v>11</v>
      </c>
      <c r="G182" s="9" t="s">
        <v>631</v>
      </c>
      <c r="H182" s="9">
        <v>932653714</v>
      </c>
      <c r="I182" s="9" t="s">
        <v>23</v>
      </c>
      <c r="J182" s="9" t="s">
        <v>632</v>
      </c>
    </row>
    <row r="183" spans="1:10" ht="15.75" customHeight="1">
      <c r="A183" s="9" t="s">
        <v>893</v>
      </c>
      <c r="B183" s="9" t="s">
        <v>894</v>
      </c>
      <c r="C183" s="9" t="s">
        <v>895</v>
      </c>
      <c r="D183" s="9" t="s">
        <v>869</v>
      </c>
      <c r="E183" s="8">
        <v>41932</v>
      </c>
      <c r="F183" s="7">
        <f t="shared" ca="1" si="0"/>
        <v>11</v>
      </c>
      <c r="G183" s="9" t="s">
        <v>896</v>
      </c>
      <c r="H183" s="9">
        <v>926479236</v>
      </c>
      <c r="I183" s="9" t="s">
        <v>23</v>
      </c>
      <c r="J183" s="9" t="s">
        <v>897</v>
      </c>
    </row>
    <row r="184" spans="1:10" ht="15.75" customHeight="1">
      <c r="A184" s="9" t="s">
        <v>898</v>
      </c>
      <c r="B184" s="9" t="s">
        <v>899</v>
      </c>
      <c r="C184" s="9" t="s">
        <v>900</v>
      </c>
      <c r="D184" s="9" t="s">
        <v>869</v>
      </c>
      <c r="E184" s="8">
        <v>41770</v>
      </c>
      <c r="F184" s="7">
        <f t="shared" ca="1" si="0"/>
        <v>11</v>
      </c>
      <c r="G184" s="9" t="s">
        <v>901</v>
      </c>
      <c r="H184" s="9">
        <v>940624016</v>
      </c>
      <c r="I184" s="9" t="s">
        <v>23</v>
      </c>
      <c r="J184" s="9" t="s">
        <v>902</v>
      </c>
    </row>
    <row r="185" spans="1:10" ht="15.75" customHeight="1">
      <c r="A185" s="9" t="s">
        <v>903</v>
      </c>
      <c r="B185" s="9" t="s">
        <v>904</v>
      </c>
      <c r="C185" s="9" t="s">
        <v>905</v>
      </c>
      <c r="D185" s="9" t="s">
        <v>869</v>
      </c>
      <c r="E185" s="8">
        <v>41890</v>
      </c>
      <c r="F185" s="7">
        <f t="shared" ca="1" si="0"/>
        <v>11</v>
      </c>
      <c r="G185" s="9" t="s">
        <v>906</v>
      </c>
      <c r="H185" s="9">
        <v>981837683</v>
      </c>
      <c r="I185" s="9" t="s">
        <v>23</v>
      </c>
      <c r="J185" s="9" t="s">
        <v>907</v>
      </c>
    </row>
    <row r="186" spans="1:10" ht="15.75" customHeight="1">
      <c r="A186" s="9" t="s">
        <v>908</v>
      </c>
      <c r="B186" s="9" t="s">
        <v>909</v>
      </c>
      <c r="C186" s="9" t="s">
        <v>910</v>
      </c>
      <c r="D186" s="9" t="s">
        <v>869</v>
      </c>
      <c r="E186" s="8">
        <v>41796</v>
      </c>
      <c r="F186" s="7">
        <f t="shared" ca="1" si="0"/>
        <v>11</v>
      </c>
      <c r="G186" s="9" t="s">
        <v>911</v>
      </c>
      <c r="H186" s="9">
        <v>972982021</v>
      </c>
      <c r="I186" s="9" t="s">
        <v>23</v>
      </c>
      <c r="J186" s="9" t="s">
        <v>912</v>
      </c>
    </row>
    <row r="187" spans="1:10" ht="15.75" customHeight="1">
      <c r="A187" s="9" t="s">
        <v>913</v>
      </c>
      <c r="B187" s="9" t="s">
        <v>914</v>
      </c>
      <c r="C187" s="9" t="s">
        <v>915</v>
      </c>
      <c r="D187" s="9" t="s">
        <v>869</v>
      </c>
      <c r="E187" s="8">
        <v>41849</v>
      </c>
      <c r="F187" s="7">
        <f t="shared" ca="1" si="0"/>
        <v>11</v>
      </c>
      <c r="G187" s="9" t="s">
        <v>896</v>
      </c>
      <c r="H187" s="9">
        <v>926479236</v>
      </c>
      <c r="I187" s="9" t="s">
        <v>23</v>
      </c>
      <c r="J187" s="9" t="s">
        <v>897</v>
      </c>
    </row>
    <row r="188" spans="1:10" ht="15.75" customHeight="1">
      <c r="A188" s="9" t="s">
        <v>916</v>
      </c>
      <c r="B188" s="9" t="s">
        <v>917</v>
      </c>
      <c r="C188" s="9" t="s">
        <v>918</v>
      </c>
      <c r="D188" s="9" t="s">
        <v>869</v>
      </c>
      <c r="E188" s="8">
        <v>41588</v>
      </c>
      <c r="F188" s="7">
        <f t="shared" ca="1" si="0"/>
        <v>12</v>
      </c>
      <c r="G188" s="9" t="s">
        <v>919</v>
      </c>
      <c r="H188" s="9">
        <v>931066914</v>
      </c>
      <c r="I188" s="9" t="s">
        <v>23</v>
      </c>
      <c r="J188" s="9" t="s">
        <v>920</v>
      </c>
    </row>
    <row r="189" spans="1:10" ht="15.75" customHeight="1">
      <c r="A189" s="9" t="s">
        <v>921</v>
      </c>
      <c r="B189" s="9" t="s">
        <v>922</v>
      </c>
      <c r="C189" s="9" t="s">
        <v>923</v>
      </c>
      <c r="D189" s="9" t="s">
        <v>869</v>
      </c>
      <c r="E189" s="8">
        <v>42069</v>
      </c>
      <c r="F189" s="7">
        <f t="shared" ca="1" si="0"/>
        <v>11</v>
      </c>
      <c r="G189" s="9" t="s">
        <v>924</v>
      </c>
      <c r="H189" s="9">
        <v>990156620</v>
      </c>
      <c r="I189" s="9" t="s">
        <v>219</v>
      </c>
      <c r="J189" s="9" t="s">
        <v>925</v>
      </c>
    </row>
    <row r="190" spans="1:10" ht="15.75" customHeight="1">
      <c r="A190" s="9" t="s">
        <v>926</v>
      </c>
      <c r="B190" s="9" t="s">
        <v>927</v>
      </c>
      <c r="C190" s="9" t="s">
        <v>928</v>
      </c>
      <c r="D190" s="9" t="s">
        <v>869</v>
      </c>
      <c r="E190" s="8">
        <v>41877</v>
      </c>
      <c r="F190" s="7">
        <f t="shared" ca="1" si="0"/>
        <v>11</v>
      </c>
      <c r="G190" s="9" t="s">
        <v>929</v>
      </c>
      <c r="H190" s="9">
        <v>971669252</v>
      </c>
      <c r="I190" s="9" t="s">
        <v>23</v>
      </c>
      <c r="J190" s="9" t="s">
        <v>930</v>
      </c>
    </row>
    <row r="191" spans="1:10" ht="15.75" customHeight="1">
      <c r="A191" s="9" t="s">
        <v>931</v>
      </c>
      <c r="B191" s="9" t="s">
        <v>932</v>
      </c>
      <c r="C191" s="9" t="s">
        <v>933</v>
      </c>
      <c r="D191" s="9" t="s">
        <v>869</v>
      </c>
      <c r="E191" s="8">
        <v>41964</v>
      </c>
      <c r="F191" s="7">
        <f t="shared" ca="1" si="0"/>
        <v>11</v>
      </c>
      <c r="G191" s="9" t="s">
        <v>934</v>
      </c>
      <c r="H191" s="9">
        <v>931116416</v>
      </c>
      <c r="I191" s="9" t="s">
        <v>23</v>
      </c>
      <c r="J191" s="9" t="s">
        <v>935</v>
      </c>
    </row>
    <row r="192" spans="1:10" ht="15.75" customHeight="1">
      <c r="A192" s="9" t="s">
        <v>936</v>
      </c>
      <c r="B192" s="9" t="s">
        <v>937</v>
      </c>
      <c r="C192" s="9" t="s">
        <v>938</v>
      </c>
      <c r="D192" s="9" t="s">
        <v>869</v>
      </c>
      <c r="E192" s="8">
        <v>42135</v>
      </c>
      <c r="F192" s="7">
        <f t="shared" ca="1" si="0"/>
        <v>10</v>
      </c>
      <c r="G192" s="9" t="s">
        <v>939</v>
      </c>
      <c r="H192" s="9">
        <v>945015333</v>
      </c>
      <c r="I192" s="9" t="s">
        <v>23</v>
      </c>
      <c r="J192" s="9" t="s">
        <v>940</v>
      </c>
    </row>
    <row r="193" spans="1:10" ht="15.75" customHeight="1">
      <c r="A193" s="9" t="s">
        <v>941</v>
      </c>
      <c r="B193" s="9" t="s">
        <v>942</v>
      </c>
      <c r="C193" s="9" t="s">
        <v>943</v>
      </c>
      <c r="D193" s="9" t="s">
        <v>869</v>
      </c>
      <c r="E193" s="8">
        <v>41992</v>
      </c>
      <c r="F193" s="7">
        <f t="shared" ca="1" si="0"/>
        <v>11</v>
      </c>
      <c r="G193" s="9" t="s">
        <v>944</v>
      </c>
      <c r="H193" s="9">
        <v>966788329</v>
      </c>
      <c r="I193" s="9" t="s">
        <v>945</v>
      </c>
      <c r="J193" s="9" t="s">
        <v>946</v>
      </c>
    </row>
    <row r="194" spans="1:10" ht="15.75" customHeight="1">
      <c r="A194" s="9" t="s">
        <v>947</v>
      </c>
      <c r="B194" s="9" t="s">
        <v>948</v>
      </c>
      <c r="C194" s="9" t="s">
        <v>949</v>
      </c>
      <c r="D194" s="9" t="s">
        <v>869</v>
      </c>
      <c r="E194" s="8">
        <v>41942</v>
      </c>
      <c r="F194" s="7">
        <f t="shared" ca="1" si="0"/>
        <v>11</v>
      </c>
      <c r="G194" s="9" t="s">
        <v>950</v>
      </c>
      <c r="H194" s="9">
        <v>937521876</v>
      </c>
      <c r="I194" s="9" t="s">
        <v>23</v>
      </c>
      <c r="J194" s="9" t="s">
        <v>951</v>
      </c>
    </row>
    <row r="195" spans="1:10" ht="15.75" customHeight="1">
      <c r="A195" s="9" t="s">
        <v>952</v>
      </c>
      <c r="B195" s="9" t="s">
        <v>953</v>
      </c>
      <c r="C195" s="9" t="s">
        <v>954</v>
      </c>
      <c r="D195" s="9" t="s">
        <v>869</v>
      </c>
      <c r="E195" s="8">
        <v>41735</v>
      </c>
      <c r="F195" s="7">
        <f t="shared" ca="1" si="0"/>
        <v>11</v>
      </c>
      <c r="G195" s="9" t="s">
        <v>955</v>
      </c>
      <c r="H195" s="9">
        <v>928335822</v>
      </c>
      <c r="I195" s="9" t="s">
        <v>956</v>
      </c>
      <c r="J195" s="9" t="s">
        <v>957</v>
      </c>
    </row>
    <row r="196" spans="1:10" ht="15.75" customHeight="1">
      <c r="A196" s="9" t="s">
        <v>958</v>
      </c>
      <c r="B196" s="9" t="s">
        <v>959</v>
      </c>
      <c r="C196" s="9" t="s">
        <v>960</v>
      </c>
      <c r="D196" s="9" t="s">
        <v>869</v>
      </c>
      <c r="E196" s="8">
        <v>40679</v>
      </c>
      <c r="F196" s="7">
        <f t="shared" ca="1" si="0"/>
        <v>14</v>
      </c>
      <c r="G196" s="9" t="s">
        <v>961</v>
      </c>
      <c r="H196" s="9">
        <v>935308474</v>
      </c>
      <c r="I196" s="9" t="s">
        <v>23</v>
      </c>
      <c r="J196" s="9" t="s">
        <v>962</v>
      </c>
    </row>
    <row r="197" spans="1:10" ht="15.75" customHeight="1">
      <c r="A197" s="9" t="s">
        <v>963</v>
      </c>
      <c r="B197" s="9" t="s">
        <v>964</v>
      </c>
      <c r="C197" s="9" t="s">
        <v>965</v>
      </c>
      <c r="D197" s="9" t="s">
        <v>869</v>
      </c>
      <c r="E197" s="8">
        <v>42018</v>
      </c>
      <c r="F197" s="7">
        <f t="shared" ca="1" si="0"/>
        <v>11</v>
      </c>
      <c r="G197" s="9" t="s">
        <v>966</v>
      </c>
      <c r="H197" s="9">
        <v>953368767</v>
      </c>
      <c r="I197" s="9" t="s">
        <v>23</v>
      </c>
      <c r="J197" s="9" t="s">
        <v>967</v>
      </c>
    </row>
    <row r="198" spans="1:10" ht="15.75" customHeight="1">
      <c r="A198" s="9" t="s">
        <v>968</v>
      </c>
      <c r="B198" s="9" t="s">
        <v>969</v>
      </c>
      <c r="C198" s="9" t="s">
        <v>970</v>
      </c>
      <c r="D198" s="9" t="s">
        <v>869</v>
      </c>
      <c r="E198" s="8">
        <v>42011</v>
      </c>
      <c r="F198" s="7">
        <f t="shared" ca="1" si="0"/>
        <v>11</v>
      </c>
      <c r="G198" s="9" t="s">
        <v>971</v>
      </c>
      <c r="H198" s="9">
        <v>964414696</v>
      </c>
      <c r="I198" s="9" t="s">
        <v>23</v>
      </c>
      <c r="J198" s="9" t="s">
        <v>972</v>
      </c>
    </row>
    <row r="199" spans="1:10" ht="15.75" customHeight="1">
      <c r="A199" s="9" t="s">
        <v>973</v>
      </c>
      <c r="B199" s="9" t="s">
        <v>974</v>
      </c>
      <c r="C199" s="9" t="s">
        <v>975</v>
      </c>
      <c r="D199" s="9" t="s">
        <v>869</v>
      </c>
      <c r="E199" s="8">
        <v>41957</v>
      </c>
      <c r="F199" s="7">
        <f t="shared" ca="1" si="0"/>
        <v>11</v>
      </c>
      <c r="G199" s="9" t="s">
        <v>976</v>
      </c>
      <c r="H199" s="9">
        <v>933336347</v>
      </c>
      <c r="I199" s="9" t="s">
        <v>23</v>
      </c>
      <c r="J199" s="9" t="s">
        <v>977</v>
      </c>
    </row>
    <row r="200" spans="1:10" ht="15.75" customHeight="1">
      <c r="A200" s="9" t="s">
        <v>978</v>
      </c>
      <c r="B200" s="9" t="s">
        <v>979</v>
      </c>
      <c r="C200" s="9" t="s">
        <v>980</v>
      </c>
      <c r="D200" s="9" t="s">
        <v>869</v>
      </c>
      <c r="E200" s="8">
        <v>41747</v>
      </c>
      <c r="F200" s="7">
        <f t="shared" ca="1" si="0"/>
        <v>11</v>
      </c>
      <c r="G200" s="9" t="s">
        <v>981</v>
      </c>
      <c r="H200" s="9">
        <v>932667809</v>
      </c>
      <c r="I200" s="9" t="s">
        <v>23</v>
      </c>
      <c r="J200" s="9" t="s">
        <v>982</v>
      </c>
    </row>
    <row r="201" spans="1:10" ht="15.75" customHeight="1">
      <c r="A201" s="9" t="s">
        <v>983</v>
      </c>
      <c r="B201" s="9" t="s">
        <v>984</v>
      </c>
      <c r="C201" s="9" t="s">
        <v>985</v>
      </c>
      <c r="D201" s="9" t="s">
        <v>869</v>
      </c>
      <c r="E201" s="8">
        <v>41448</v>
      </c>
      <c r="F201" s="7">
        <f t="shared" ca="1" si="0"/>
        <v>12</v>
      </c>
      <c r="G201" s="9" t="s">
        <v>695</v>
      </c>
      <c r="H201" s="9">
        <v>983216613</v>
      </c>
      <c r="I201" s="9" t="s">
        <v>23</v>
      </c>
      <c r="J201" s="9" t="s">
        <v>99</v>
      </c>
    </row>
    <row r="202" spans="1:10" ht="15.75" customHeight="1">
      <c r="A202" s="9" t="s">
        <v>986</v>
      </c>
      <c r="B202" s="9" t="s">
        <v>987</v>
      </c>
      <c r="C202" s="9" t="s">
        <v>988</v>
      </c>
      <c r="D202" s="9" t="s">
        <v>869</v>
      </c>
      <c r="E202" s="8">
        <v>41822</v>
      </c>
      <c r="F202" s="7">
        <f t="shared" ca="1" si="0"/>
        <v>11</v>
      </c>
      <c r="G202" s="9" t="s">
        <v>989</v>
      </c>
      <c r="H202" s="9">
        <v>967188303</v>
      </c>
      <c r="I202" s="9" t="s">
        <v>23</v>
      </c>
      <c r="J202" s="9" t="s">
        <v>990</v>
      </c>
    </row>
    <row r="203" spans="1:10" ht="15.75" customHeight="1">
      <c r="A203" s="9" t="s">
        <v>991</v>
      </c>
      <c r="B203" s="9" t="s">
        <v>992</v>
      </c>
      <c r="C203" s="9" t="s">
        <v>993</v>
      </c>
      <c r="D203" s="9" t="s">
        <v>869</v>
      </c>
      <c r="E203" s="8">
        <v>41908</v>
      </c>
      <c r="F203" s="7">
        <f t="shared" ca="1" si="0"/>
        <v>11</v>
      </c>
      <c r="G203" s="9" t="s">
        <v>567</v>
      </c>
      <c r="H203" s="9">
        <v>961815736</v>
      </c>
      <c r="I203" s="9" t="s">
        <v>23</v>
      </c>
      <c r="J203" s="9" t="s">
        <v>568</v>
      </c>
    </row>
    <row r="204" spans="1:10" ht="15.75" customHeight="1">
      <c r="A204" s="9" t="s">
        <v>994</v>
      </c>
      <c r="B204" s="9" t="s">
        <v>995</v>
      </c>
      <c r="C204" s="9" t="s">
        <v>996</v>
      </c>
      <c r="D204" s="9" t="s">
        <v>869</v>
      </c>
      <c r="E204" s="8">
        <v>41976</v>
      </c>
      <c r="F204" s="7">
        <f t="shared" ca="1" si="0"/>
        <v>11</v>
      </c>
      <c r="G204" s="9" t="s">
        <v>997</v>
      </c>
      <c r="H204" s="9">
        <v>975328041</v>
      </c>
      <c r="I204" s="9" t="s">
        <v>998</v>
      </c>
      <c r="J204" s="9" t="s">
        <v>999</v>
      </c>
    </row>
    <row r="205" spans="1:10" ht="15.75" customHeight="1">
      <c r="A205" s="9" t="s">
        <v>1000</v>
      </c>
      <c r="B205" s="9" t="s">
        <v>1001</v>
      </c>
      <c r="C205" s="9" t="s">
        <v>1002</v>
      </c>
      <c r="D205" s="9" t="s">
        <v>869</v>
      </c>
      <c r="E205" s="8">
        <v>41019</v>
      </c>
      <c r="F205" s="7">
        <f t="shared" ca="1" si="0"/>
        <v>13</v>
      </c>
      <c r="G205" s="9" t="s">
        <v>1003</v>
      </c>
      <c r="H205" s="9">
        <v>997007091</v>
      </c>
      <c r="I205" s="9" t="s">
        <v>1004</v>
      </c>
      <c r="J205" s="9" t="s">
        <v>1005</v>
      </c>
    </row>
    <row r="206" spans="1:10" ht="15.75" customHeight="1">
      <c r="A206" s="9" t="s">
        <v>1006</v>
      </c>
      <c r="B206" s="9" t="s">
        <v>1007</v>
      </c>
      <c r="C206" s="9" t="s">
        <v>1008</v>
      </c>
      <c r="D206" s="9" t="s">
        <v>869</v>
      </c>
      <c r="E206" s="8">
        <v>41780</v>
      </c>
      <c r="F206" s="7">
        <f t="shared" ca="1" si="0"/>
        <v>11</v>
      </c>
      <c r="G206" s="9" t="s">
        <v>1009</v>
      </c>
      <c r="H206" s="9">
        <v>937842593</v>
      </c>
      <c r="I206" s="9" t="s">
        <v>23</v>
      </c>
      <c r="J206" s="9" t="s">
        <v>1010</v>
      </c>
    </row>
    <row r="207" spans="1:10" ht="15.75" customHeight="1">
      <c r="A207" s="9" t="s">
        <v>1011</v>
      </c>
      <c r="B207" s="9" t="s">
        <v>1012</v>
      </c>
      <c r="C207" s="9" t="s">
        <v>1013</v>
      </c>
      <c r="D207" s="9" t="s">
        <v>1014</v>
      </c>
      <c r="E207" s="8">
        <v>41250</v>
      </c>
      <c r="F207" s="7">
        <f t="shared" ca="1" si="0"/>
        <v>13</v>
      </c>
      <c r="G207" s="9" t="s">
        <v>341</v>
      </c>
      <c r="H207" s="9" t="s">
        <v>1015</v>
      </c>
      <c r="I207" s="9" t="s">
        <v>23</v>
      </c>
      <c r="J207" s="9" t="s">
        <v>1016</v>
      </c>
    </row>
    <row r="208" spans="1:10" ht="15.75" customHeight="1">
      <c r="A208" s="9" t="s">
        <v>1017</v>
      </c>
      <c r="B208" s="9" t="s">
        <v>1018</v>
      </c>
      <c r="C208" s="9" t="s">
        <v>1019</v>
      </c>
      <c r="D208" s="9" t="s">
        <v>1014</v>
      </c>
      <c r="E208" s="8">
        <v>41500</v>
      </c>
      <c r="F208" s="7">
        <f t="shared" ca="1" si="0"/>
        <v>12</v>
      </c>
      <c r="G208" s="9" t="s">
        <v>1020</v>
      </c>
      <c r="H208" s="9">
        <v>989662295</v>
      </c>
      <c r="I208" s="9" t="s">
        <v>23</v>
      </c>
      <c r="J208" s="9" t="s">
        <v>1021</v>
      </c>
    </row>
    <row r="209" spans="1:10" ht="15.75" customHeight="1">
      <c r="A209" s="9" t="s">
        <v>1022</v>
      </c>
      <c r="B209" s="9" t="s">
        <v>1023</v>
      </c>
      <c r="C209" s="9" t="s">
        <v>1024</v>
      </c>
      <c r="D209" s="9" t="s">
        <v>1014</v>
      </c>
      <c r="E209" s="8">
        <v>41622</v>
      </c>
      <c r="F209" s="7">
        <f t="shared" ca="1" si="0"/>
        <v>12</v>
      </c>
      <c r="G209" s="9" t="s">
        <v>1025</v>
      </c>
      <c r="H209" s="9">
        <v>952006133</v>
      </c>
      <c r="I209" s="9" t="s">
        <v>23</v>
      </c>
      <c r="J209" s="9" t="s">
        <v>1026</v>
      </c>
    </row>
    <row r="210" spans="1:10" ht="15.75" customHeight="1">
      <c r="A210" s="9" t="s">
        <v>1027</v>
      </c>
      <c r="B210" s="9" t="s">
        <v>1028</v>
      </c>
      <c r="C210" s="9" t="s">
        <v>1029</v>
      </c>
      <c r="D210" s="9" t="s">
        <v>1014</v>
      </c>
      <c r="E210" s="8">
        <v>41503</v>
      </c>
      <c r="F210" s="7">
        <f t="shared" ca="1" si="0"/>
        <v>12</v>
      </c>
      <c r="G210" s="9" t="s">
        <v>1030</v>
      </c>
      <c r="H210" s="9">
        <v>930019479</v>
      </c>
      <c r="I210" s="9" t="s">
        <v>23</v>
      </c>
      <c r="J210" s="9" t="s">
        <v>1031</v>
      </c>
    </row>
    <row r="211" spans="1:10" ht="15.75" customHeight="1">
      <c r="A211" s="9" t="s">
        <v>1032</v>
      </c>
      <c r="B211" s="9" t="s">
        <v>1033</v>
      </c>
      <c r="C211" s="9" t="s">
        <v>1034</v>
      </c>
      <c r="D211" s="9" t="s">
        <v>1014</v>
      </c>
      <c r="E211" s="8">
        <v>41692</v>
      </c>
      <c r="F211" s="7">
        <f t="shared" ca="1" si="0"/>
        <v>12</v>
      </c>
      <c r="G211" s="9" t="s">
        <v>1035</v>
      </c>
      <c r="H211" s="9">
        <v>976890187</v>
      </c>
      <c r="I211" s="9" t="s">
        <v>23</v>
      </c>
      <c r="J211" s="9" t="s">
        <v>1036</v>
      </c>
    </row>
    <row r="212" spans="1:10" ht="15.75" customHeight="1">
      <c r="A212" s="9" t="s">
        <v>1037</v>
      </c>
      <c r="B212" s="9" t="s">
        <v>1038</v>
      </c>
      <c r="C212" s="9" t="s">
        <v>1039</v>
      </c>
      <c r="D212" s="9" t="s">
        <v>1014</v>
      </c>
      <c r="E212" s="8">
        <v>40987</v>
      </c>
      <c r="F212" s="7">
        <f t="shared" ca="1" si="0"/>
        <v>14</v>
      </c>
      <c r="G212" s="9" t="s">
        <v>1040</v>
      </c>
      <c r="H212" s="9">
        <v>989303015</v>
      </c>
      <c r="I212" s="9" t="s">
        <v>23</v>
      </c>
      <c r="J212" s="9" t="s">
        <v>1041</v>
      </c>
    </row>
    <row r="213" spans="1:10" ht="15.75" customHeight="1">
      <c r="A213" s="9" t="s">
        <v>1042</v>
      </c>
      <c r="B213" s="9" t="s">
        <v>1043</v>
      </c>
      <c r="C213" s="9" t="s">
        <v>1044</v>
      </c>
      <c r="D213" s="9" t="s">
        <v>1014</v>
      </c>
      <c r="E213" s="8">
        <v>41468</v>
      </c>
      <c r="F213" s="7">
        <f t="shared" ca="1" si="0"/>
        <v>12</v>
      </c>
      <c r="G213" s="9" t="s">
        <v>455</v>
      </c>
      <c r="H213" s="9">
        <v>941425314</v>
      </c>
      <c r="I213" s="9" t="s">
        <v>23</v>
      </c>
      <c r="J213" s="9" t="s">
        <v>1045</v>
      </c>
    </row>
    <row r="214" spans="1:10" ht="15.75" customHeight="1">
      <c r="A214" s="9" t="s">
        <v>1046</v>
      </c>
      <c r="B214" s="9" t="s">
        <v>1047</v>
      </c>
      <c r="C214" s="9" t="s">
        <v>1048</v>
      </c>
      <c r="D214" s="9" t="s">
        <v>1014</v>
      </c>
      <c r="E214" s="8">
        <v>41541</v>
      </c>
      <c r="F214" s="7">
        <f t="shared" ca="1" si="0"/>
        <v>12</v>
      </c>
      <c r="G214" s="9" t="s">
        <v>1049</v>
      </c>
      <c r="H214" s="9">
        <v>979091814</v>
      </c>
      <c r="I214" s="9" t="s">
        <v>23</v>
      </c>
      <c r="J214" s="9" t="s">
        <v>1050</v>
      </c>
    </row>
    <row r="215" spans="1:10" ht="15.75" customHeight="1">
      <c r="A215" s="9" t="s">
        <v>1051</v>
      </c>
      <c r="B215" s="9" t="s">
        <v>1052</v>
      </c>
      <c r="C215" s="9" t="s">
        <v>1053</v>
      </c>
      <c r="D215" s="9" t="s">
        <v>1014</v>
      </c>
      <c r="E215" s="8">
        <v>41456</v>
      </c>
      <c r="F215" s="7">
        <f t="shared" ca="1" si="0"/>
        <v>12</v>
      </c>
      <c r="G215" s="9" t="s">
        <v>896</v>
      </c>
      <c r="H215" s="9">
        <v>926479236</v>
      </c>
      <c r="I215" s="9" t="s">
        <v>23</v>
      </c>
      <c r="J215" s="9" t="s">
        <v>897</v>
      </c>
    </row>
    <row r="216" spans="1:10" ht="15.75" customHeight="1">
      <c r="A216" s="9" t="s">
        <v>1054</v>
      </c>
      <c r="B216" s="9" t="s">
        <v>1055</v>
      </c>
      <c r="C216" s="9" t="s">
        <v>1056</v>
      </c>
      <c r="D216" s="9" t="s">
        <v>1014</v>
      </c>
      <c r="E216" s="8">
        <v>41701</v>
      </c>
      <c r="F216" s="7">
        <f t="shared" ca="1" si="0"/>
        <v>12</v>
      </c>
      <c r="G216" s="9" t="s">
        <v>1057</v>
      </c>
      <c r="H216" s="9">
        <v>991039738</v>
      </c>
      <c r="I216" s="9" t="s">
        <v>23</v>
      </c>
      <c r="J216" s="9" t="s">
        <v>1058</v>
      </c>
    </row>
    <row r="217" spans="1:10" ht="15.75" customHeight="1">
      <c r="A217" s="9" t="s">
        <v>1059</v>
      </c>
      <c r="B217" s="9" t="s">
        <v>1060</v>
      </c>
      <c r="C217" s="9" t="s">
        <v>1061</v>
      </c>
      <c r="D217" s="9" t="s">
        <v>1014</v>
      </c>
      <c r="E217" s="8">
        <v>41466</v>
      </c>
      <c r="F217" s="7">
        <f t="shared" ca="1" si="0"/>
        <v>12</v>
      </c>
      <c r="G217" s="9" t="s">
        <v>1062</v>
      </c>
      <c r="H217" s="9">
        <v>946684639</v>
      </c>
      <c r="I217" s="9" t="s">
        <v>23</v>
      </c>
      <c r="J217" s="9" t="s">
        <v>1063</v>
      </c>
    </row>
    <row r="218" spans="1:10" ht="15.75" customHeight="1">
      <c r="A218" s="9" t="s">
        <v>1064</v>
      </c>
      <c r="B218" s="9" t="s">
        <v>1065</v>
      </c>
      <c r="C218" s="9" t="s">
        <v>1066</v>
      </c>
      <c r="D218" s="9" t="s">
        <v>1014</v>
      </c>
      <c r="E218" s="8">
        <v>41583</v>
      </c>
      <c r="F218" s="7">
        <f t="shared" ca="1" si="0"/>
        <v>12</v>
      </c>
      <c r="G218" s="9" t="s">
        <v>1067</v>
      </c>
      <c r="H218" s="9">
        <v>945286312</v>
      </c>
      <c r="I218" s="9" t="s">
        <v>23</v>
      </c>
      <c r="J218" s="9" t="s">
        <v>1068</v>
      </c>
    </row>
    <row r="219" spans="1:10" ht="15.75" customHeight="1">
      <c r="A219" s="9" t="s">
        <v>1069</v>
      </c>
      <c r="B219" s="9" t="s">
        <v>1070</v>
      </c>
      <c r="C219" s="9" t="s">
        <v>1071</v>
      </c>
      <c r="D219" s="9" t="s">
        <v>1014</v>
      </c>
      <c r="E219" s="8">
        <v>41231</v>
      </c>
      <c r="F219" s="7">
        <f t="shared" ca="1" si="0"/>
        <v>13</v>
      </c>
      <c r="G219" s="9" t="s">
        <v>1072</v>
      </c>
      <c r="H219" s="9">
        <v>964201178</v>
      </c>
      <c r="I219" s="9" t="s">
        <v>23</v>
      </c>
      <c r="J219" s="9" t="s">
        <v>1073</v>
      </c>
    </row>
    <row r="220" spans="1:10" ht="15.75" customHeight="1">
      <c r="A220" s="9" t="s">
        <v>1074</v>
      </c>
      <c r="B220" s="9" t="s">
        <v>1075</v>
      </c>
      <c r="C220" s="9" t="s">
        <v>1076</v>
      </c>
      <c r="D220" s="9" t="s">
        <v>1014</v>
      </c>
      <c r="E220" s="8">
        <v>41643</v>
      </c>
      <c r="F220" s="7">
        <f t="shared" ca="1" si="0"/>
        <v>12</v>
      </c>
      <c r="G220" s="9" t="s">
        <v>1077</v>
      </c>
      <c r="H220" s="9">
        <v>930094443</v>
      </c>
      <c r="I220" s="9" t="s">
        <v>23</v>
      </c>
      <c r="J220" s="9" t="s">
        <v>1078</v>
      </c>
    </row>
    <row r="221" spans="1:10" ht="15.75" customHeight="1">
      <c r="A221" s="9" t="s">
        <v>1079</v>
      </c>
      <c r="B221" s="9" t="s">
        <v>1080</v>
      </c>
      <c r="C221" s="9" t="s">
        <v>1081</v>
      </c>
      <c r="D221" s="9" t="s">
        <v>1014</v>
      </c>
      <c r="E221" s="8">
        <v>41486</v>
      </c>
      <c r="F221" s="7">
        <f t="shared" ca="1" si="0"/>
        <v>12</v>
      </c>
      <c r="G221" s="9" t="s">
        <v>1082</v>
      </c>
      <c r="H221" s="9">
        <v>948124436</v>
      </c>
      <c r="I221" s="9" t="s">
        <v>23</v>
      </c>
      <c r="J221" s="9" t="s">
        <v>1083</v>
      </c>
    </row>
    <row r="222" spans="1:10" ht="15.75" customHeight="1">
      <c r="A222" s="9" t="s">
        <v>1084</v>
      </c>
      <c r="B222" s="9" t="s">
        <v>1085</v>
      </c>
      <c r="C222" s="9" t="s">
        <v>1086</v>
      </c>
      <c r="D222" s="9" t="s">
        <v>1014</v>
      </c>
      <c r="E222" s="8">
        <v>41469</v>
      </c>
      <c r="F222" s="7">
        <f t="shared" ca="1" si="0"/>
        <v>12</v>
      </c>
      <c r="G222" s="9" t="s">
        <v>1025</v>
      </c>
      <c r="H222" s="9">
        <v>952006133</v>
      </c>
      <c r="I222" s="9" t="s">
        <v>23</v>
      </c>
      <c r="J222" s="9" t="s">
        <v>1087</v>
      </c>
    </row>
    <row r="223" spans="1:10" ht="15.75" customHeight="1">
      <c r="A223" s="9" t="s">
        <v>1088</v>
      </c>
      <c r="B223" s="9" t="s">
        <v>1089</v>
      </c>
      <c r="C223" s="9" t="s">
        <v>1090</v>
      </c>
      <c r="D223" s="9" t="s">
        <v>1014</v>
      </c>
      <c r="E223" s="8">
        <v>41382</v>
      </c>
      <c r="F223" s="7">
        <f t="shared" ca="1" si="0"/>
        <v>12</v>
      </c>
      <c r="G223" s="9" t="s">
        <v>1091</v>
      </c>
      <c r="H223" s="9">
        <v>922255360</v>
      </c>
      <c r="I223" s="9" t="s">
        <v>23</v>
      </c>
      <c r="J223" s="9" t="s">
        <v>1092</v>
      </c>
    </row>
    <row r="224" spans="1:10" ht="15.75" customHeight="1">
      <c r="A224" s="9" t="s">
        <v>1093</v>
      </c>
      <c r="B224" s="9" t="s">
        <v>1094</v>
      </c>
      <c r="C224" s="9" t="s">
        <v>1095</v>
      </c>
      <c r="D224" s="9" t="s">
        <v>1014</v>
      </c>
      <c r="E224" s="8">
        <v>41542</v>
      </c>
      <c r="F224" s="7">
        <f t="shared" ca="1" si="0"/>
        <v>12</v>
      </c>
      <c r="G224" s="9" t="s">
        <v>1096</v>
      </c>
      <c r="H224" s="9">
        <v>941701597</v>
      </c>
      <c r="I224" s="9" t="s">
        <v>23</v>
      </c>
      <c r="J224" s="9" t="s">
        <v>1097</v>
      </c>
    </row>
    <row r="225" spans="1:10" ht="15.75" customHeight="1">
      <c r="A225" s="9" t="s">
        <v>1098</v>
      </c>
      <c r="B225" s="9" t="s">
        <v>1099</v>
      </c>
      <c r="C225" s="9" t="s">
        <v>1100</v>
      </c>
      <c r="D225" s="9" t="s">
        <v>1014</v>
      </c>
      <c r="E225" s="8">
        <v>41302</v>
      </c>
      <c r="F225" s="7">
        <f t="shared" ca="1" si="0"/>
        <v>13</v>
      </c>
      <c r="G225" s="9" t="s">
        <v>976</v>
      </c>
      <c r="H225" s="9">
        <v>933336347</v>
      </c>
      <c r="I225" s="9" t="s">
        <v>23</v>
      </c>
      <c r="J225" s="9" t="s">
        <v>1101</v>
      </c>
    </row>
    <row r="226" spans="1:10" ht="15.75" customHeight="1">
      <c r="A226" s="9" t="s">
        <v>1102</v>
      </c>
      <c r="B226" s="9" t="s">
        <v>1103</v>
      </c>
      <c r="C226" s="9" t="s">
        <v>1104</v>
      </c>
      <c r="D226" s="9" t="s">
        <v>1014</v>
      </c>
      <c r="E226" s="8">
        <v>41562</v>
      </c>
      <c r="F226" s="7">
        <f t="shared" ca="1" si="0"/>
        <v>12</v>
      </c>
      <c r="G226" s="9" t="s">
        <v>1105</v>
      </c>
      <c r="H226" s="9">
        <v>976882348</v>
      </c>
      <c r="I226" s="9" t="s">
        <v>23</v>
      </c>
      <c r="J226" s="9" t="s">
        <v>1106</v>
      </c>
    </row>
    <row r="227" spans="1:10" ht="15.75" customHeight="1">
      <c r="A227" s="9" t="s">
        <v>1107</v>
      </c>
      <c r="B227" s="9" t="s">
        <v>1108</v>
      </c>
      <c r="C227" s="9" t="s">
        <v>1109</v>
      </c>
      <c r="D227" s="9" t="s">
        <v>1014</v>
      </c>
      <c r="E227" s="8">
        <v>41157</v>
      </c>
      <c r="F227" s="7">
        <f t="shared" ca="1" si="0"/>
        <v>13</v>
      </c>
      <c r="G227" s="9" t="s">
        <v>782</v>
      </c>
      <c r="H227" s="9">
        <v>978626378</v>
      </c>
      <c r="I227" s="9" t="s">
        <v>1004</v>
      </c>
      <c r="J227" s="9" t="s">
        <v>1110</v>
      </c>
    </row>
    <row r="228" spans="1:10" ht="15.75" customHeight="1">
      <c r="A228" s="9" t="s">
        <v>1111</v>
      </c>
      <c r="B228" s="9" t="s">
        <v>1112</v>
      </c>
      <c r="C228" s="9" t="s">
        <v>1113</v>
      </c>
      <c r="D228" s="9" t="s">
        <v>1014</v>
      </c>
      <c r="E228" s="8">
        <v>41165</v>
      </c>
      <c r="F228" s="7">
        <f t="shared" ca="1" si="0"/>
        <v>13</v>
      </c>
      <c r="G228" s="9" t="s">
        <v>1114</v>
      </c>
      <c r="H228" s="9">
        <v>984425561</v>
      </c>
      <c r="I228" s="9" t="s">
        <v>23</v>
      </c>
      <c r="J228" s="9" t="s">
        <v>1115</v>
      </c>
    </row>
    <row r="229" spans="1:10" ht="15.75" customHeight="1">
      <c r="A229" s="9" t="s">
        <v>1116</v>
      </c>
      <c r="B229" s="9" t="s">
        <v>1117</v>
      </c>
      <c r="C229" s="9" t="s">
        <v>1118</v>
      </c>
      <c r="D229" s="9" t="s">
        <v>1014</v>
      </c>
      <c r="E229" s="8">
        <v>40867</v>
      </c>
      <c r="F229" s="7">
        <f t="shared" ca="1" si="0"/>
        <v>14</v>
      </c>
      <c r="G229" s="9" t="s">
        <v>1119</v>
      </c>
      <c r="H229" s="9">
        <v>953528777</v>
      </c>
      <c r="I229" s="9" t="s">
        <v>23</v>
      </c>
      <c r="J229" s="9" t="s">
        <v>1120</v>
      </c>
    </row>
    <row r="230" spans="1:10" ht="15.75" customHeight="1">
      <c r="A230" s="9" t="s">
        <v>1121</v>
      </c>
      <c r="B230" s="9" t="s">
        <v>1117</v>
      </c>
      <c r="C230" s="9" t="s">
        <v>1122</v>
      </c>
      <c r="D230" s="9" t="s">
        <v>1014</v>
      </c>
      <c r="E230" s="8">
        <v>40867</v>
      </c>
      <c r="F230" s="7">
        <f t="shared" ca="1" si="0"/>
        <v>14</v>
      </c>
      <c r="G230" s="9" t="s">
        <v>1119</v>
      </c>
      <c r="H230" s="9">
        <v>953528777</v>
      </c>
      <c r="I230" s="9" t="s">
        <v>23</v>
      </c>
      <c r="J230" s="9" t="s">
        <v>1120</v>
      </c>
    </row>
    <row r="231" spans="1:10" ht="15.75" customHeight="1">
      <c r="A231" s="9" t="s">
        <v>1123</v>
      </c>
      <c r="B231" s="9" t="s">
        <v>1124</v>
      </c>
      <c r="C231" s="9" t="s">
        <v>1125</v>
      </c>
      <c r="D231" s="9" t="s">
        <v>1014</v>
      </c>
      <c r="E231" s="8">
        <v>41560</v>
      </c>
      <c r="F231" s="7">
        <f t="shared" ca="1" si="0"/>
        <v>12</v>
      </c>
      <c r="G231" s="9" t="s">
        <v>1126</v>
      </c>
      <c r="H231" s="9">
        <v>972336473</v>
      </c>
      <c r="I231" s="9" t="s">
        <v>23</v>
      </c>
      <c r="J231" s="9" t="s">
        <v>1127</v>
      </c>
    </row>
    <row r="232" spans="1:10" ht="15.75" customHeight="1">
      <c r="A232" s="9" t="s">
        <v>1128</v>
      </c>
      <c r="B232" s="9" t="s">
        <v>1129</v>
      </c>
      <c r="C232" s="9" t="s">
        <v>1130</v>
      </c>
      <c r="D232" s="9" t="s">
        <v>1014</v>
      </c>
      <c r="E232" s="8">
        <v>41477</v>
      </c>
      <c r="F232" s="7">
        <f t="shared" ca="1" si="0"/>
        <v>12</v>
      </c>
      <c r="G232" s="9" t="s">
        <v>1131</v>
      </c>
      <c r="H232" s="9">
        <v>963352266</v>
      </c>
      <c r="I232" s="9" t="s">
        <v>23</v>
      </c>
      <c r="J232" s="9" t="s">
        <v>1132</v>
      </c>
    </row>
    <row r="233" spans="1:10" ht="15.75" customHeight="1">
      <c r="A233" s="9" t="s">
        <v>1133</v>
      </c>
      <c r="B233" s="9" t="s">
        <v>1134</v>
      </c>
      <c r="C233" s="9" t="s">
        <v>1135</v>
      </c>
      <c r="D233" s="9" t="s">
        <v>1014</v>
      </c>
      <c r="E233" s="8">
        <v>41414</v>
      </c>
      <c r="F233" s="7">
        <f t="shared" ca="1" si="0"/>
        <v>12</v>
      </c>
      <c r="G233" s="9" t="s">
        <v>1136</v>
      </c>
      <c r="H233" s="9">
        <v>957109092</v>
      </c>
      <c r="I233" s="9" t="s">
        <v>23</v>
      </c>
      <c r="J233" s="9" t="s">
        <v>1137</v>
      </c>
    </row>
    <row r="234" spans="1:10" ht="15.75" customHeight="1">
      <c r="A234" s="9" t="s">
        <v>1138</v>
      </c>
      <c r="B234" s="9" t="s">
        <v>1139</v>
      </c>
      <c r="C234" s="9" t="s">
        <v>1140</v>
      </c>
      <c r="D234" s="9" t="s">
        <v>1141</v>
      </c>
      <c r="E234" s="8">
        <v>41119</v>
      </c>
      <c r="F234" s="7">
        <f t="shared" ca="1" si="0"/>
        <v>13</v>
      </c>
      <c r="G234" s="9" t="s">
        <v>1142</v>
      </c>
      <c r="H234" s="9">
        <v>973566559</v>
      </c>
      <c r="I234" s="9" t="s">
        <v>23</v>
      </c>
      <c r="J234" s="9" t="s">
        <v>1143</v>
      </c>
    </row>
    <row r="235" spans="1:10" ht="15.75" customHeight="1">
      <c r="A235" s="9" t="s">
        <v>1144</v>
      </c>
      <c r="B235" s="9" t="s">
        <v>1145</v>
      </c>
      <c r="C235" s="9" t="s">
        <v>1146</v>
      </c>
      <c r="D235" s="9" t="s">
        <v>1141</v>
      </c>
      <c r="E235" s="8">
        <v>41272</v>
      </c>
      <c r="F235" s="7">
        <f t="shared" ca="1" si="0"/>
        <v>13</v>
      </c>
      <c r="G235" s="9" t="s">
        <v>1147</v>
      </c>
      <c r="H235" s="9">
        <v>945279148</v>
      </c>
      <c r="I235" s="9" t="s">
        <v>23</v>
      </c>
      <c r="J235" s="9" t="s">
        <v>1148</v>
      </c>
    </row>
    <row r="236" spans="1:10" ht="15.75" customHeight="1">
      <c r="A236" s="9" t="s">
        <v>1149</v>
      </c>
      <c r="B236" s="9" t="s">
        <v>1150</v>
      </c>
      <c r="C236" s="9" t="s">
        <v>1151</v>
      </c>
      <c r="D236" s="9" t="s">
        <v>1141</v>
      </c>
      <c r="E236" s="8">
        <v>41011</v>
      </c>
      <c r="F236" s="7">
        <f t="shared" ca="1" si="0"/>
        <v>13</v>
      </c>
      <c r="G236" s="9" t="s">
        <v>1152</v>
      </c>
      <c r="H236" s="9">
        <v>989475264</v>
      </c>
      <c r="I236" s="9" t="s">
        <v>23</v>
      </c>
      <c r="J236" s="9" t="s">
        <v>1153</v>
      </c>
    </row>
    <row r="237" spans="1:10" ht="15.75" customHeight="1">
      <c r="A237" s="9" t="s">
        <v>1154</v>
      </c>
      <c r="B237" s="9" t="s">
        <v>1155</v>
      </c>
      <c r="C237" s="9" t="s">
        <v>1156</v>
      </c>
      <c r="D237" s="9" t="s">
        <v>1141</v>
      </c>
      <c r="E237" s="8">
        <v>41038</v>
      </c>
      <c r="F237" s="7">
        <f t="shared" ca="1" si="0"/>
        <v>13</v>
      </c>
      <c r="G237" s="9" t="s">
        <v>1157</v>
      </c>
      <c r="H237" s="9">
        <v>988460592</v>
      </c>
      <c r="I237" s="9" t="s">
        <v>23</v>
      </c>
      <c r="J237" s="9" t="s">
        <v>1158</v>
      </c>
    </row>
    <row r="238" spans="1:10" ht="15.75" customHeight="1">
      <c r="A238" s="9" t="s">
        <v>1159</v>
      </c>
      <c r="B238" s="9" t="s">
        <v>1160</v>
      </c>
      <c r="C238" s="9" t="s">
        <v>1161</v>
      </c>
      <c r="D238" s="9" t="s">
        <v>1141</v>
      </c>
      <c r="E238" s="8">
        <v>41215</v>
      </c>
      <c r="F238" s="7">
        <f t="shared" ca="1" si="0"/>
        <v>13</v>
      </c>
      <c r="G238" s="9" t="s">
        <v>485</v>
      </c>
      <c r="H238" s="9">
        <v>935009499</v>
      </c>
      <c r="I238" s="9" t="s">
        <v>23</v>
      </c>
      <c r="J238" s="9" t="s">
        <v>486</v>
      </c>
    </row>
    <row r="239" spans="1:10" ht="15.75" customHeight="1">
      <c r="A239" s="9" t="s">
        <v>1162</v>
      </c>
      <c r="B239" s="9" t="s">
        <v>1163</v>
      </c>
      <c r="C239" s="9" t="s">
        <v>1164</v>
      </c>
      <c r="D239" s="9" t="s">
        <v>1141</v>
      </c>
      <c r="E239" s="8">
        <v>41201</v>
      </c>
      <c r="F239" s="7">
        <f t="shared" ca="1" si="0"/>
        <v>13</v>
      </c>
      <c r="G239" s="9" t="s">
        <v>772</v>
      </c>
      <c r="H239" s="9">
        <v>931422426</v>
      </c>
      <c r="I239" s="9" t="s">
        <v>23</v>
      </c>
      <c r="J239" s="9" t="s">
        <v>1165</v>
      </c>
    </row>
    <row r="240" spans="1:10" ht="15.75" customHeight="1">
      <c r="A240" s="9" t="s">
        <v>1166</v>
      </c>
      <c r="B240" s="9" t="s">
        <v>1167</v>
      </c>
      <c r="C240" s="9" t="s">
        <v>1168</v>
      </c>
      <c r="D240" s="9" t="s">
        <v>1141</v>
      </c>
      <c r="E240" s="8">
        <v>41105</v>
      </c>
      <c r="F240" s="7">
        <f t="shared" ca="1" si="0"/>
        <v>13</v>
      </c>
      <c r="G240" s="9" t="s">
        <v>515</v>
      </c>
      <c r="H240" s="9">
        <v>997839355</v>
      </c>
      <c r="I240" s="9" t="s">
        <v>23</v>
      </c>
      <c r="J240" s="9" t="s">
        <v>1169</v>
      </c>
    </row>
    <row r="241" spans="1:10" ht="15.75" customHeight="1">
      <c r="A241" s="9" t="s">
        <v>1170</v>
      </c>
      <c r="B241" s="9" t="s">
        <v>1171</v>
      </c>
      <c r="C241" s="9" t="s">
        <v>1172</v>
      </c>
      <c r="D241" s="9" t="s">
        <v>1141</v>
      </c>
      <c r="E241" s="8">
        <v>41303</v>
      </c>
      <c r="F241" s="7">
        <f t="shared" ca="1" si="0"/>
        <v>13</v>
      </c>
      <c r="G241" s="9" t="s">
        <v>1173</v>
      </c>
      <c r="H241" s="9">
        <v>939033226</v>
      </c>
      <c r="I241" s="9" t="s">
        <v>23</v>
      </c>
      <c r="J241" s="9" t="s">
        <v>1174</v>
      </c>
    </row>
    <row r="242" spans="1:10" ht="15.75" customHeight="1">
      <c r="A242" s="9" t="s">
        <v>1175</v>
      </c>
      <c r="B242" s="9" t="s">
        <v>1176</v>
      </c>
      <c r="C242" s="9" t="s">
        <v>1177</v>
      </c>
      <c r="D242" s="9" t="s">
        <v>1141</v>
      </c>
      <c r="E242" s="8">
        <v>41002</v>
      </c>
      <c r="F242" s="7">
        <f t="shared" ca="1" si="0"/>
        <v>13</v>
      </c>
      <c r="G242" s="9" t="s">
        <v>896</v>
      </c>
      <c r="H242" s="9">
        <v>926479236</v>
      </c>
      <c r="I242" s="9" t="s">
        <v>23</v>
      </c>
      <c r="J242" s="9" t="s">
        <v>897</v>
      </c>
    </row>
    <row r="243" spans="1:10" ht="15.75" customHeight="1">
      <c r="A243" s="9" t="s">
        <v>1178</v>
      </c>
      <c r="B243" s="9" t="s">
        <v>1179</v>
      </c>
      <c r="C243" s="9" t="s">
        <v>1180</v>
      </c>
      <c r="D243" s="9" t="s">
        <v>1141</v>
      </c>
      <c r="E243" s="8">
        <v>40627</v>
      </c>
      <c r="F243" s="7">
        <f t="shared" ca="1" si="0"/>
        <v>14</v>
      </c>
      <c r="G243" s="9" t="s">
        <v>1181</v>
      </c>
      <c r="H243" s="9">
        <v>933443921</v>
      </c>
      <c r="I243" s="9" t="s">
        <v>219</v>
      </c>
      <c r="J243" s="9" t="s">
        <v>1182</v>
      </c>
    </row>
    <row r="244" spans="1:10" ht="15.75" customHeight="1">
      <c r="A244" s="9" t="s">
        <v>1183</v>
      </c>
      <c r="B244" s="9" t="s">
        <v>1184</v>
      </c>
      <c r="C244" s="9" t="s">
        <v>1185</v>
      </c>
      <c r="D244" s="9" t="s">
        <v>1141</v>
      </c>
      <c r="E244" s="8">
        <v>40939</v>
      </c>
      <c r="F244" s="7">
        <f t="shared" ca="1" si="0"/>
        <v>14</v>
      </c>
      <c r="G244" s="9" t="s">
        <v>530</v>
      </c>
      <c r="H244" s="9">
        <v>920631699</v>
      </c>
      <c r="I244" s="9" t="s">
        <v>23</v>
      </c>
      <c r="J244" s="9" t="s">
        <v>1186</v>
      </c>
    </row>
    <row r="245" spans="1:10" ht="15.75" customHeight="1">
      <c r="A245" s="9" t="s">
        <v>1187</v>
      </c>
      <c r="B245" s="9" t="s">
        <v>1188</v>
      </c>
      <c r="C245" s="9" t="s">
        <v>1189</v>
      </c>
      <c r="D245" s="9" t="s">
        <v>1141</v>
      </c>
      <c r="E245" s="8">
        <v>41117</v>
      </c>
      <c r="F245" s="7">
        <f t="shared" ca="1" si="0"/>
        <v>13</v>
      </c>
      <c r="G245" s="9" t="s">
        <v>1190</v>
      </c>
      <c r="H245" s="9">
        <v>957851103</v>
      </c>
      <c r="I245" s="9" t="s">
        <v>23</v>
      </c>
      <c r="J245" s="9" t="s">
        <v>74</v>
      </c>
    </row>
    <row r="246" spans="1:10" ht="15.75" customHeight="1">
      <c r="A246" s="9" t="s">
        <v>1191</v>
      </c>
      <c r="B246" s="9" t="s">
        <v>1192</v>
      </c>
      <c r="C246" s="9" t="s">
        <v>1193</v>
      </c>
      <c r="D246" s="9" t="s">
        <v>1141</v>
      </c>
      <c r="E246" s="8">
        <v>41318</v>
      </c>
      <c r="F246" s="7">
        <f t="shared" ca="1" si="0"/>
        <v>13</v>
      </c>
      <c r="G246" s="9" t="s">
        <v>800</v>
      </c>
      <c r="H246" s="9">
        <v>962662496</v>
      </c>
      <c r="I246" s="9" t="s">
        <v>23</v>
      </c>
      <c r="J246" s="9" t="s">
        <v>801</v>
      </c>
    </row>
    <row r="247" spans="1:10" ht="15.75" customHeight="1">
      <c r="A247" s="9" t="s">
        <v>1194</v>
      </c>
      <c r="B247" s="9" t="s">
        <v>1195</v>
      </c>
      <c r="C247" s="9" t="s">
        <v>1196</v>
      </c>
      <c r="D247" s="9" t="s">
        <v>1141</v>
      </c>
      <c r="E247" s="8">
        <v>40983</v>
      </c>
      <c r="F247" s="7">
        <f t="shared" ca="1" si="0"/>
        <v>14</v>
      </c>
      <c r="G247" s="9" t="s">
        <v>1197</v>
      </c>
      <c r="H247" s="9">
        <v>957585445</v>
      </c>
      <c r="I247" s="9" t="s">
        <v>23</v>
      </c>
      <c r="J247" s="9" t="s">
        <v>1198</v>
      </c>
    </row>
    <row r="248" spans="1:10" ht="15.75" customHeight="1">
      <c r="A248" s="9" t="s">
        <v>1199</v>
      </c>
      <c r="B248" s="9" t="s">
        <v>1200</v>
      </c>
      <c r="C248" s="9" t="s">
        <v>1201</v>
      </c>
      <c r="D248" s="9" t="s">
        <v>1141</v>
      </c>
      <c r="E248" s="8">
        <v>41170</v>
      </c>
      <c r="F248" s="7">
        <f t="shared" ca="1" si="0"/>
        <v>13</v>
      </c>
      <c r="G248" s="9" t="s">
        <v>1202</v>
      </c>
      <c r="H248" s="9">
        <v>990531284</v>
      </c>
      <c r="I248" s="9" t="s">
        <v>23</v>
      </c>
      <c r="J248" s="9" t="s">
        <v>1203</v>
      </c>
    </row>
    <row r="249" spans="1:10" ht="15.75" customHeight="1">
      <c r="A249" s="9" t="s">
        <v>1204</v>
      </c>
      <c r="B249" s="9" t="s">
        <v>1205</v>
      </c>
      <c r="C249" s="9" t="s">
        <v>1206</v>
      </c>
      <c r="D249" s="9" t="s">
        <v>1141</v>
      </c>
      <c r="E249" s="8">
        <v>41458</v>
      </c>
      <c r="F249" s="7">
        <f t="shared" ca="1" si="0"/>
        <v>12</v>
      </c>
      <c r="G249" s="9" t="s">
        <v>403</v>
      </c>
      <c r="H249" s="9">
        <v>930391515</v>
      </c>
      <c r="I249" s="9" t="s">
        <v>23</v>
      </c>
      <c r="J249" s="9" t="s">
        <v>1207</v>
      </c>
    </row>
    <row r="250" spans="1:10" ht="15.75" customHeight="1">
      <c r="A250" s="9" t="s">
        <v>1208</v>
      </c>
      <c r="B250" s="9" t="s">
        <v>1209</v>
      </c>
      <c r="C250" s="9" t="s">
        <v>1210</v>
      </c>
      <c r="D250" s="9" t="s">
        <v>1141</v>
      </c>
      <c r="E250" s="8">
        <v>41071</v>
      </c>
      <c r="F250" s="7">
        <f t="shared" ca="1" si="0"/>
        <v>13</v>
      </c>
      <c r="G250" s="9" t="s">
        <v>1211</v>
      </c>
      <c r="H250" s="9">
        <v>969087063</v>
      </c>
      <c r="I250" s="9" t="s">
        <v>23</v>
      </c>
      <c r="J250" s="9" t="s">
        <v>1212</v>
      </c>
    </row>
    <row r="251" spans="1:10" ht="15.75" customHeight="1">
      <c r="A251" s="9" t="s">
        <v>1213</v>
      </c>
      <c r="B251" s="9" t="s">
        <v>1214</v>
      </c>
      <c r="C251" s="9" t="s">
        <v>1215</v>
      </c>
      <c r="D251" s="9" t="s">
        <v>1141</v>
      </c>
      <c r="E251" s="8">
        <v>41171</v>
      </c>
      <c r="F251" s="7">
        <f t="shared" ca="1" si="0"/>
        <v>13</v>
      </c>
      <c r="G251" s="9" t="s">
        <v>1216</v>
      </c>
      <c r="H251" s="9">
        <v>949527964</v>
      </c>
      <c r="I251" s="9" t="s">
        <v>23</v>
      </c>
      <c r="J251" s="9" t="s">
        <v>822</v>
      </c>
    </row>
    <row r="252" spans="1:10" ht="15.75" customHeight="1">
      <c r="A252" s="9" t="s">
        <v>1217</v>
      </c>
      <c r="B252" s="9" t="s">
        <v>1218</v>
      </c>
      <c r="C252" s="9" t="s">
        <v>1219</v>
      </c>
      <c r="D252" s="9" t="s">
        <v>1141</v>
      </c>
      <c r="E252" s="8">
        <v>41072</v>
      </c>
      <c r="F252" s="7">
        <f t="shared" ca="1" si="0"/>
        <v>13</v>
      </c>
      <c r="G252" s="9" t="s">
        <v>1220</v>
      </c>
      <c r="H252" s="9">
        <v>921866982</v>
      </c>
      <c r="I252" s="9" t="s">
        <v>1221</v>
      </c>
      <c r="J252" s="9" t="s">
        <v>481</v>
      </c>
    </row>
    <row r="253" spans="1:10" ht="15.75" customHeight="1">
      <c r="A253" s="9" t="s">
        <v>1222</v>
      </c>
      <c r="B253" s="9" t="s">
        <v>1223</v>
      </c>
      <c r="C253" s="9" t="s">
        <v>1224</v>
      </c>
      <c r="D253" s="9" t="s">
        <v>1141</v>
      </c>
      <c r="E253" s="8">
        <v>41036</v>
      </c>
      <c r="F253" s="7">
        <f t="shared" ca="1" si="0"/>
        <v>13</v>
      </c>
      <c r="G253" s="9" t="s">
        <v>1225</v>
      </c>
      <c r="H253" s="9">
        <v>937198560</v>
      </c>
      <c r="I253" s="9" t="s">
        <v>23</v>
      </c>
      <c r="J253" s="9" t="s">
        <v>1226</v>
      </c>
    </row>
    <row r="254" spans="1:10" ht="15.75" customHeight="1">
      <c r="A254" s="9" t="s">
        <v>1227</v>
      </c>
      <c r="B254" s="9" t="s">
        <v>1228</v>
      </c>
      <c r="C254" s="9" t="s">
        <v>1229</v>
      </c>
      <c r="D254" s="9" t="s">
        <v>1141</v>
      </c>
      <c r="E254" s="8">
        <v>40729</v>
      </c>
      <c r="F254" s="7">
        <f t="shared" ca="1" si="0"/>
        <v>14</v>
      </c>
      <c r="G254" s="9" t="s">
        <v>826</v>
      </c>
      <c r="H254" s="9">
        <v>935556023</v>
      </c>
      <c r="I254" s="9" t="s">
        <v>23</v>
      </c>
      <c r="J254" s="9" t="s">
        <v>1230</v>
      </c>
    </row>
    <row r="255" spans="1:10" ht="15.75" customHeight="1">
      <c r="A255" s="9" t="s">
        <v>1231</v>
      </c>
      <c r="B255" s="9" t="s">
        <v>1232</v>
      </c>
      <c r="C255" s="9" t="s">
        <v>1233</v>
      </c>
      <c r="D255" s="9" t="s">
        <v>1141</v>
      </c>
      <c r="E255" s="8">
        <v>41120</v>
      </c>
      <c r="F255" s="7">
        <f t="shared" ca="1" si="0"/>
        <v>13</v>
      </c>
      <c r="G255" s="9" t="s">
        <v>1234</v>
      </c>
      <c r="H255" s="9">
        <v>953356742</v>
      </c>
      <c r="I255" s="9" t="s">
        <v>23</v>
      </c>
      <c r="J255" s="9" t="s">
        <v>1235</v>
      </c>
    </row>
    <row r="256" spans="1:10" ht="15.75" customHeight="1">
      <c r="A256" s="9" t="s">
        <v>1236</v>
      </c>
      <c r="B256" s="9" t="s">
        <v>1237</v>
      </c>
      <c r="C256" s="9" t="s">
        <v>1238</v>
      </c>
      <c r="D256" s="9" t="s">
        <v>1141</v>
      </c>
      <c r="E256" s="8">
        <v>41157</v>
      </c>
      <c r="F256" s="7">
        <f t="shared" ca="1" si="0"/>
        <v>13</v>
      </c>
      <c r="G256" s="9" t="s">
        <v>1239</v>
      </c>
      <c r="H256" s="9">
        <v>976480423</v>
      </c>
      <c r="I256" s="9" t="s">
        <v>23</v>
      </c>
      <c r="J256" s="9" t="s">
        <v>1240</v>
      </c>
    </row>
    <row r="257" spans="1:10" ht="15.75" customHeight="1">
      <c r="A257" s="9" t="s">
        <v>1241</v>
      </c>
      <c r="B257" s="9" t="s">
        <v>1242</v>
      </c>
      <c r="C257" s="9" t="s">
        <v>1243</v>
      </c>
      <c r="D257" s="9" t="s">
        <v>1141</v>
      </c>
      <c r="E257" s="8">
        <v>41130</v>
      </c>
      <c r="F257" s="7">
        <f t="shared" ca="1" si="0"/>
        <v>13</v>
      </c>
      <c r="G257" s="9" t="s">
        <v>1244</v>
      </c>
      <c r="H257" s="9">
        <v>972936788</v>
      </c>
      <c r="I257" s="9" t="s">
        <v>23</v>
      </c>
      <c r="J257" s="9" t="s">
        <v>1245</v>
      </c>
    </row>
    <row r="258" spans="1:10" ht="15.75" customHeight="1">
      <c r="A258" s="9" t="s">
        <v>1246</v>
      </c>
      <c r="B258" s="9" t="s">
        <v>1247</v>
      </c>
      <c r="C258" s="9" t="s">
        <v>1248</v>
      </c>
      <c r="D258" s="9" t="s">
        <v>1141</v>
      </c>
      <c r="E258" s="8">
        <v>41232</v>
      </c>
      <c r="F258" s="7">
        <f t="shared" ca="1" si="0"/>
        <v>13</v>
      </c>
      <c r="G258" s="9" t="s">
        <v>989</v>
      </c>
      <c r="H258" s="9">
        <v>967188303</v>
      </c>
      <c r="I258" s="9" t="s">
        <v>23</v>
      </c>
      <c r="J258" s="9" t="s">
        <v>990</v>
      </c>
    </row>
    <row r="259" spans="1:10" ht="15.75" customHeight="1">
      <c r="A259" s="9" t="s">
        <v>1249</v>
      </c>
      <c r="B259" s="9" t="s">
        <v>1250</v>
      </c>
      <c r="C259" s="9" t="s">
        <v>1251</v>
      </c>
      <c r="D259" s="9" t="s">
        <v>1141</v>
      </c>
      <c r="E259" s="8">
        <v>40660</v>
      </c>
      <c r="F259" s="7">
        <f t="shared" ca="1" si="0"/>
        <v>14</v>
      </c>
      <c r="G259" s="9" t="s">
        <v>790</v>
      </c>
      <c r="H259" s="9">
        <v>965272109</v>
      </c>
      <c r="I259" s="9" t="s">
        <v>1252</v>
      </c>
      <c r="J259" s="9" t="s">
        <v>1253</v>
      </c>
    </row>
    <row r="260" spans="1:10" ht="15.75" customHeight="1">
      <c r="A260" s="9" t="s">
        <v>1254</v>
      </c>
      <c r="B260" s="9" t="s">
        <v>1255</v>
      </c>
      <c r="C260" s="9" t="s">
        <v>1256</v>
      </c>
      <c r="D260" s="9" t="s">
        <v>1141</v>
      </c>
      <c r="E260" s="8">
        <v>41317</v>
      </c>
      <c r="F260" s="7">
        <f t="shared" ca="1" si="0"/>
        <v>13</v>
      </c>
      <c r="G260" s="9" t="s">
        <v>592</v>
      </c>
      <c r="H260" s="9">
        <v>998562683</v>
      </c>
      <c r="I260" s="9" t="s">
        <v>23</v>
      </c>
      <c r="J260" s="9" t="s">
        <v>1257</v>
      </c>
    </row>
    <row r="261" spans="1:10" ht="15.75" customHeight="1">
      <c r="A261" s="9" t="s">
        <v>1258</v>
      </c>
      <c r="B261" s="9" t="s">
        <v>1259</v>
      </c>
      <c r="C261" s="9" t="s">
        <v>1260</v>
      </c>
      <c r="D261" s="9" t="s">
        <v>1141</v>
      </c>
      <c r="E261" s="8">
        <v>40878</v>
      </c>
      <c r="F261" s="7">
        <f t="shared" ca="1" si="0"/>
        <v>14</v>
      </c>
      <c r="G261" s="9" t="s">
        <v>1261</v>
      </c>
      <c r="H261" s="9">
        <v>959480839</v>
      </c>
      <c r="I261" s="9" t="s">
        <v>23</v>
      </c>
      <c r="J261" s="9" t="s">
        <v>1262</v>
      </c>
    </row>
    <row r="262" spans="1:10" ht="15.75" customHeight="1">
      <c r="A262" s="9"/>
      <c r="B262" s="9"/>
      <c r="C262" s="5"/>
      <c r="D262" s="9"/>
      <c r="E262" s="6"/>
      <c r="F262" s="7">
        <f t="shared" ca="1" si="0"/>
        <v>126</v>
      </c>
      <c r="G262" s="5"/>
      <c r="H262" s="5"/>
      <c r="I262" s="5"/>
      <c r="J262" s="5"/>
    </row>
    <row r="263" spans="1:10" ht="15.75" customHeight="1">
      <c r="A263" s="9"/>
      <c r="B263" s="5"/>
      <c r="C263" s="5"/>
      <c r="D263" s="9"/>
      <c r="E263" s="6"/>
      <c r="F263" s="7">
        <f t="shared" ca="1" si="0"/>
        <v>126</v>
      </c>
      <c r="G263" s="5"/>
      <c r="H263" s="5"/>
      <c r="I263" s="5"/>
      <c r="J263" s="5"/>
    </row>
    <row r="264" spans="1:10" ht="15.75" customHeight="1">
      <c r="A264" s="9"/>
      <c r="B264" s="5"/>
      <c r="C264" s="5"/>
      <c r="D264" s="9"/>
      <c r="E264" s="6"/>
      <c r="F264" s="7">
        <f t="shared" ca="1" si="0"/>
        <v>126</v>
      </c>
      <c r="G264" s="5"/>
      <c r="H264" s="5"/>
      <c r="I264" s="5"/>
      <c r="J264" s="5"/>
    </row>
    <row r="265" spans="1:10" ht="15.75" customHeight="1">
      <c r="A265" s="9"/>
      <c r="B265" s="5"/>
      <c r="C265" s="5"/>
      <c r="D265" s="9"/>
      <c r="E265" s="6"/>
      <c r="F265" s="7">
        <f t="shared" ca="1" si="0"/>
        <v>126</v>
      </c>
      <c r="G265" s="5"/>
      <c r="H265" s="5"/>
      <c r="I265" s="5"/>
      <c r="J265" s="5"/>
    </row>
    <row r="266" spans="1:10" ht="15.75" customHeight="1">
      <c r="A266" s="9"/>
      <c r="B266" s="5"/>
      <c r="C266" s="5"/>
      <c r="D266" s="9"/>
      <c r="E266" s="6"/>
      <c r="F266" s="7">
        <f t="shared" ca="1" si="0"/>
        <v>126</v>
      </c>
      <c r="G266" s="5"/>
      <c r="H266" s="5"/>
      <c r="I266" s="5"/>
      <c r="J266" s="5"/>
    </row>
    <row r="267" spans="1:10" ht="15.75" customHeight="1">
      <c r="A267" s="9"/>
      <c r="B267" s="5"/>
      <c r="C267" s="5"/>
      <c r="D267" s="9"/>
      <c r="E267" s="6"/>
      <c r="F267" s="7">
        <f t="shared" ca="1" si="0"/>
        <v>126</v>
      </c>
      <c r="G267" s="5"/>
      <c r="H267" s="5"/>
      <c r="I267" s="5"/>
      <c r="J267" s="5"/>
    </row>
    <row r="268" spans="1:10" ht="15.75" customHeight="1">
      <c r="A268" s="9"/>
      <c r="B268" s="5"/>
      <c r="C268" s="5"/>
      <c r="D268" s="9"/>
      <c r="E268" s="6"/>
      <c r="F268" s="7">
        <f t="shared" ca="1" si="0"/>
        <v>126</v>
      </c>
      <c r="G268" s="5"/>
      <c r="H268" s="5"/>
      <c r="I268" s="5"/>
      <c r="J268" s="5"/>
    </row>
    <row r="269" spans="1:10" ht="15.75" customHeight="1">
      <c r="A269" s="9"/>
      <c r="B269" s="5"/>
      <c r="C269" s="5"/>
      <c r="D269" s="9"/>
      <c r="E269" s="6"/>
      <c r="F269" s="7">
        <f t="shared" ca="1" si="0"/>
        <v>126</v>
      </c>
      <c r="G269" s="5"/>
      <c r="H269" s="5"/>
      <c r="I269" s="5"/>
      <c r="J269" s="5"/>
    </row>
    <row r="270" spans="1:10" ht="15.75" customHeight="1">
      <c r="A270" s="9"/>
      <c r="B270" s="5"/>
      <c r="C270" s="5"/>
      <c r="D270" s="9"/>
      <c r="E270" s="6"/>
      <c r="F270" s="7">
        <f t="shared" ca="1" si="0"/>
        <v>126</v>
      </c>
      <c r="G270" s="5"/>
      <c r="H270" s="5"/>
      <c r="I270" s="5"/>
      <c r="J270" s="5"/>
    </row>
    <row r="271" spans="1:10" ht="15.75" customHeight="1">
      <c r="A271" s="9"/>
      <c r="B271" s="5"/>
      <c r="C271" s="5"/>
      <c r="D271" s="9"/>
      <c r="E271" s="6"/>
      <c r="F271" s="7">
        <f t="shared" ca="1" si="0"/>
        <v>126</v>
      </c>
      <c r="G271" s="5"/>
      <c r="H271" s="5"/>
      <c r="I271" s="5"/>
      <c r="J271" s="5"/>
    </row>
    <row r="272" spans="1:10" ht="15.75" customHeight="1">
      <c r="A272" s="9"/>
      <c r="B272" s="5"/>
      <c r="C272" s="5"/>
      <c r="D272" s="9"/>
      <c r="E272" s="6"/>
      <c r="F272" s="7">
        <f t="shared" ca="1" si="0"/>
        <v>126</v>
      </c>
      <c r="G272" s="5"/>
      <c r="H272" s="5"/>
      <c r="I272" s="5"/>
      <c r="J272" s="5"/>
    </row>
    <row r="273" spans="1:10" ht="15.75" customHeight="1">
      <c r="A273" s="9"/>
      <c r="B273" s="5"/>
      <c r="C273" s="5"/>
      <c r="D273" s="9"/>
      <c r="E273" s="6"/>
      <c r="F273" s="7">
        <f t="shared" ca="1" si="0"/>
        <v>126</v>
      </c>
      <c r="G273" s="5"/>
      <c r="H273" s="5"/>
      <c r="I273" s="5"/>
      <c r="J273" s="5"/>
    </row>
    <row r="274" spans="1:10" ht="15.75" customHeight="1">
      <c r="A274" s="9"/>
      <c r="B274" s="5"/>
      <c r="C274" s="5"/>
      <c r="D274" s="9"/>
      <c r="E274" s="6"/>
      <c r="F274" s="7">
        <f t="shared" ca="1" si="0"/>
        <v>126</v>
      </c>
      <c r="G274" s="5"/>
      <c r="H274" s="5"/>
      <c r="I274" s="5"/>
      <c r="J274" s="5"/>
    </row>
    <row r="275" spans="1:10" ht="15.75" customHeight="1">
      <c r="A275" s="9"/>
      <c r="B275" s="5"/>
      <c r="C275" s="5"/>
      <c r="D275" s="9"/>
      <c r="E275" s="6"/>
      <c r="F275" s="7">
        <f t="shared" ca="1" si="0"/>
        <v>126</v>
      </c>
      <c r="G275" s="5"/>
      <c r="H275" s="5"/>
      <c r="I275" s="5"/>
      <c r="J275" s="5"/>
    </row>
    <row r="276" spans="1:10" ht="15.75" customHeight="1">
      <c r="A276" s="9"/>
      <c r="B276" s="5"/>
      <c r="C276" s="5"/>
      <c r="D276" s="9"/>
      <c r="E276" s="6"/>
      <c r="F276" s="7">
        <f t="shared" ca="1" si="0"/>
        <v>126</v>
      </c>
      <c r="G276" s="5"/>
      <c r="H276" s="5"/>
      <c r="I276" s="5"/>
      <c r="J276" s="5"/>
    </row>
    <row r="277" spans="1:10" ht="15.75" customHeight="1">
      <c r="A277" s="9"/>
      <c r="B277" s="5"/>
      <c r="C277" s="5"/>
      <c r="D277" s="9"/>
      <c r="E277" s="6"/>
      <c r="F277" s="7">
        <f t="shared" ca="1" si="0"/>
        <v>126</v>
      </c>
      <c r="G277" s="5"/>
      <c r="H277" s="5"/>
      <c r="I277" s="5"/>
      <c r="J277" s="5"/>
    </row>
    <row r="278" spans="1:10" ht="15.75" customHeight="1">
      <c r="A278" s="9"/>
      <c r="B278" s="5"/>
      <c r="C278" s="5"/>
      <c r="D278" s="9"/>
      <c r="E278" s="6"/>
      <c r="F278" s="7">
        <f t="shared" ca="1" si="0"/>
        <v>126</v>
      </c>
      <c r="G278" s="5"/>
      <c r="H278" s="5"/>
      <c r="I278" s="5"/>
      <c r="J278" s="5"/>
    </row>
    <row r="279" spans="1:10" ht="15.75" customHeight="1">
      <c r="A279" s="9"/>
      <c r="B279" s="5"/>
      <c r="C279" s="5"/>
      <c r="D279" s="9"/>
      <c r="E279" s="6"/>
      <c r="F279" s="7">
        <f t="shared" ca="1" si="0"/>
        <v>126</v>
      </c>
      <c r="G279" s="5"/>
      <c r="H279" s="5"/>
      <c r="I279" s="5"/>
      <c r="J279" s="5"/>
    </row>
    <row r="280" spans="1:10" ht="15.75" customHeight="1">
      <c r="A280" s="9"/>
      <c r="B280" s="5"/>
      <c r="C280" s="5"/>
      <c r="D280" s="9"/>
      <c r="E280" s="6"/>
      <c r="F280" s="7">
        <f t="shared" ca="1" si="0"/>
        <v>126</v>
      </c>
      <c r="G280" s="5"/>
      <c r="H280" s="5"/>
      <c r="I280" s="5"/>
      <c r="J280" s="5"/>
    </row>
    <row r="281" spans="1:10" ht="15.75" customHeight="1">
      <c r="A281" s="9"/>
      <c r="B281" s="5"/>
      <c r="C281" s="5"/>
      <c r="D281" s="9"/>
      <c r="E281" s="6"/>
      <c r="F281" s="7">
        <f t="shared" ca="1" si="0"/>
        <v>126</v>
      </c>
      <c r="G281" s="5"/>
      <c r="H281" s="5"/>
      <c r="I281" s="5"/>
      <c r="J281" s="5"/>
    </row>
    <row r="282" spans="1:10" ht="15.75" customHeight="1">
      <c r="A282" s="9"/>
      <c r="B282" s="5"/>
      <c r="C282" s="5"/>
      <c r="D282" s="9"/>
      <c r="E282" s="6"/>
      <c r="F282" s="7">
        <f t="shared" ca="1" si="0"/>
        <v>126</v>
      </c>
      <c r="G282" s="5"/>
      <c r="H282" s="5"/>
      <c r="I282" s="5"/>
      <c r="J282" s="5"/>
    </row>
    <row r="283" spans="1:10" ht="15.75" customHeight="1">
      <c r="A283" s="9"/>
      <c r="B283" s="5"/>
      <c r="C283" s="5"/>
      <c r="D283" s="9"/>
      <c r="E283" s="6"/>
      <c r="F283" s="7">
        <f t="shared" ca="1" si="0"/>
        <v>126</v>
      </c>
      <c r="G283" s="5"/>
      <c r="H283" s="5"/>
      <c r="I283" s="5"/>
      <c r="J283" s="5"/>
    </row>
    <row r="284" spans="1:10" ht="15.75" customHeight="1">
      <c r="A284" s="9"/>
      <c r="B284" s="5"/>
      <c r="C284" s="5"/>
      <c r="D284" s="9"/>
      <c r="E284" s="6"/>
      <c r="F284" s="7">
        <f t="shared" ca="1" si="0"/>
        <v>126</v>
      </c>
      <c r="G284" s="5"/>
      <c r="H284" s="5"/>
      <c r="I284" s="5"/>
      <c r="J284" s="5"/>
    </row>
    <row r="285" spans="1:10" ht="15.75" customHeight="1">
      <c r="A285" s="9"/>
      <c r="B285" s="5"/>
      <c r="C285" s="5"/>
      <c r="D285" s="9"/>
      <c r="E285" s="6"/>
      <c r="F285" s="7">
        <f t="shared" ca="1" si="0"/>
        <v>126</v>
      </c>
      <c r="G285" s="5"/>
      <c r="H285" s="5"/>
      <c r="I285" s="5"/>
      <c r="J285" s="5"/>
    </row>
    <row r="286" spans="1:10" ht="15.75" customHeight="1">
      <c r="A286" s="9"/>
      <c r="B286" s="5"/>
      <c r="C286" s="5"/>
      <c r="D286" s="9"/>
      <c r="E286" s="6"/>
      <c r="F286" s="7">
        <f t="shared" ca="1" si="0"/>
        <v>126</v>
      </c>
      <c r="G286" s="5"/>
      <c r="H286" s="5"/>
      <c r="I286" s="5"/>
      <c r="J286" s="5"/>
    </row>
    <row r="287" spans="1:10" ht="15.75" customHeight="1">
      <c r="A287" s="9"/>
      <c r="B287" s="5"/>
      <c r="C287" s="5"/>
      <c r="D287" s="9"/>
      <c r="E287" s="6"/>
      <c r="F287" s="7">
        <f t="shared" ca="1" si="0"/>
        <v>126</v>
      </c>
      <c r="G287" s="5"/>
      <c r="H287" s="5"/>
      <c r="I287" s="5"/>
      <c r="J287" s="5"/>
    </row>
    <row r="288" spans="1:10" ht="15.75" customHeight="1">
      <c r="A288" s="9"/>
      <c r="B288" s="5"/>
      <c r="C288" s="5"/>
      <c r="D288" s="9"/>
      <c r="E288" s="6"/>
      <c r="F288" s="7">
        <f t="shared" ca="1" si="0"/>
        <v>126</v>
      </c>
      <c r="G288" s="5"/>
      <c r="H288" s="5"/>
      <c r="I288" s="5"/>
      <c r="J288" s="5"/>
    </row>
    <row r="289" spans="1:10" ht="15.75" customHeight="1">
      <c r="A289" s="9"/>
      <c r="B289" s="5"/>
      <c r="C289" s="5"/>
      <c r="D289" s="9"/>
      <c r="E289" s="6"/>
      <c r="F289" s="7">
        <f t="shared" ca="1" si="0"/>
        <v>126</v>
      </c>
      <c r="G289" s="5"/>
      <c r="H289" s="5"/>
      <c r="I289" s="5"/>
      <c r="J289" s="5"/>
    </row>
    <row r="290" spans="1:10" ht="15.75" customHeight="1">
      <c r="A290" s="9"/>
      <c r="B290" s="5"/>
      <c r="C290" s="5"/>
      <c r="D290" s="9"/>
      <c r="E290" s="6"/>
      <c r="F290" s="7">
        <f t="shared" ca="1" si="0"/>
        <v>126</v>
      </c>
      <c r="G290" s="5"/>
      <c r="H290" s="5"/>
      <c r="I290" s="5"/>
      <c r="J290" s="5"/>
    </row>
    <row r="291" spans="1:10" ht="15.75" customHeight="1">
      <c r="A291" s="9"/>
      <c r="B291" s="5"/>
      <c r="C291" s="5"/>
      <c r="D291" s="9"/>
      <c r="E291" s="6"/>
      <c r="F291" s="7">
        <f t="shared" ca="1" si="0"/>
        <v>126</v>
      </c>
      <c r="G291" s="5"/>
      <c r="H291" s="5"/>
      <c r="I291" s="5"/>
      <c r="J291" s="5"/>
    </row>
    <row r="292" spans="1:10" ht="15.75" customHeight="1">
      <c r="A292" s="9"/>
      <c r="B292" s="5"/>
      <c r="C292" s="5"/>
      <c r="D292" s="9"/>
      <c r="E292" s="6"/>
      <c r="F292" s="7">
        <f t="shared" ca="1" si="0"/>
        <v>126</v>
      </c>
      <c r="G292" s="5"/>
      <c r="H292" s="5"/>
      <c r="I292" s="5"/>
      <c r="J292" s="5"/>
    </row>
    <row r="293" spans="1:10" ht="15.75" customHeight="1">
      <c r="A293" s="9"/>
      <c r="B293" s="5"/>
      <c r="C293" s="5"/>
      <c r="D293" s="9"/>
      <c r="E293" s="6"/>
      <c r="F293" s="7">
        <f t="shared" ca="1" si="0"/>
        <v>126</v>
      </c>
      <c r="G293" s="5"/>
      <c r="H293" s="5"/>
      <c r="I293" s="5"/>
      <c r="J293" s="5"/>
    </row>
    <row r="294" spans="1:10" ht="15.75" customHeight="1">
      <c r="A294" s="9"/>
      <c r="B294" s="5"/>
      <c r="C294" s="5"/>
      <c r="D294" s="9"/>
      <c r="E294" s="6"/>
      <c r="F294" s="7">
        <f t="shared" ca="1" si="0"/>
        <v>126</v>
      </c>
      <c r="G294" s="5"/>
      <c r="H294" s="5"/>
      <c r="I294" s="5"/>
      <c r="J294" s="5"/>
    </row>
    <row r="295" spans="1:10" ht="15.75" customHeight="1">
      <c r="A295" s="9"/>
      <c r="B295" s="5"/>
      <c r="C295" s="5"/>
      <c r="D295" s="9"/>
      <c r="E295" s="6"/>
      <c r="F295" s="7">
        <f t="shared" ca="1" si="0"/>
        <v>126</v>
      </c>
      <c r="G295" s="5"/>
      <c r="H295" s="5"/>
      <c r="I295" s="5"/>
      <c r="J295" s="5"/>
    </row>
    <row r="296" spans="1:10" ht="15.75" customHeight="1">
      <c r="A296" s="9"/>
      <c r="B296" s="5"/>
      <c r="C296" s="5"/>
      <c r="D296" s="9"/>
      <c r="E296" s="6"/>
      <c r="F296" s="7">
        <f t="shared" ca="1" si="0"/>
        <v>126</v>
      </c>
      <c r="G296" s="5"/>
      <c r="H296" s="5"/>
      <c r="I296" s="5"/>
      <c r="J296" s="5"/>
    </row>
    <row r="297" spans="1:10" ht="15.75" customHeight="1">
      <c r="A297" s="9"/>
      <c r="B297" s="5"/>
      <c r="C297" s="5"/>
      <c r="D297" s="9"/>
      <c r="E297" s="6"/>
      <c r="F297" s="7">
        <f t="shared" ca="1" si="0"/>
        <v>126</v>
      </c>
      <c r="G297" s="5"/>
      <c r="H297" s="5"/>
      <c r="I297" s="5"/>
      <c r="J297" s="5"/>
    </row>
    <row r="298" spans="1:10" ht="15.75" customHeight="1">
      <c r="A298" s="9"/>
      <c r="B298" s="5"/>
      <c r="C298" s="5"/>
      <c r="D298" s="9"/>
      <c r="E298" s="6"/>
      <c r="F298" s="7">
        <f t="shared" ca="1" si="0"/>
        <v>126</v>
      </c>
      <c r="G298" s="5"/>
      <c r="H298" s="5"/>
      <c r="I298" s="5"/>
      <c r="J298" s="5"/>
    </row>
    <row r="299" spans="1:10" ht="15.75" customHeight="1">
      <c r="A299" s="9"/>
      <c r="B299" s="5"/>
      <c r="C299" s="5"/>
      <c r="D299" s="9"/>
      <c r="E299" s="6"/>
      <c r="F299" s="7">
        <f t="shared" ca="1" si="0"/>
        <v>126</v>
      </c>
      <c r="G299" s="5"/>
      <c r="H299" s="5"/>
      <c r="I299" s="5"/>
      <c r="J299" s="5"/>
    </row>
    <row r="300" spans="1:10" ht="15.75" customHeight="1">
      <c r="A300" s="9"/>
      <c r="B300" s="5"/>
      <c r="C300" s="5"/>
      <c r="D300" s="9"/>
      <c r="E300" s="6"/>
      <c r="F300" s="7">
        <f t="shared" ca="1" si="0"/>
        <v>126</v>
      </c>
      <c r="G300" s="5"/>
      <c r="H300" s="5"/>
      <c r="I300" s="5"/>
      <c r="J300" s="5"/>
    </row>
    <row r="301" spans="1:10" ht="15.75" customHeight="1">
      <c r="A301" s="9"/>
      <c r="B301" s="5"/>
      <c r="C301" s="5"/>
      <c r="D301" s="9"/>
      <c r="E301" s="6"/>
      <c r="F301" s="7">
        <f t="shared" ca="1" si="0"/>
        <v>126</v>
      </c>
      <c r="G301" s="5"/>
      <c r="H301" s="5"/>
      <c r="I301" s="5"/>
      <c r="J301" s="5"/>
    </row>
    <row r="302" spans="1:10" ht="15.75" customHeight="1">
      <c r="A302" s="9"/>
      <c r="B302" s="5"/>
      <c r="C302" s="5"/>
      <c r="D302" s="9"/>
      <c r="E302" s="6"/>
      <c r="F302" s="7">
        <f t="shared" ca="1" si="0"/>
        <v>126</v>
      </c>
      <c r="G302" s="5"/>
      <c r="H302" s="5"/>
      <c r="I302" s="5"/>
      <c r="J302" s="5"/>
    </row>
    <row r="303" spans="1:10" ht="15.75" customHeight="1">
      <c r="A303" s="9"/>
      <c r="B303" s="5"/>
      <c r="C303" s="5"/>
      <c r="D303" s="9"/>
      <c r="E303" s="6"/>
      <c r="F303" s="7">
        <f t="shared" ca="1" si="0"/>
        <v>126</v>
      </c>
      <c r="G303" s="5"/>
      <c r="H303" s="5"/>
      <c r="I303" s="5"/>
      <c r="J303" s="5"/>
    </row>
    <row r="304" spans="1:10" ht="15.75" customHeight="1">
      <c r="A304" s="9"/>
      <c r="B304" s="5"/>
      <c r="C304" s="5"/>
      <c r="D304" s="9"/>
      <c r="E304" s="6"/>
      <c r="F304" s="7">
        <f t="shared" ca="1" si="0"/>
        <v>126</v>
      </c>
      <c r="G304" s="5"/>
      <c r="H304" s="5"/>
      <c r="I304" s="5"/>
      <c r="J304" s="5"/>
    </row>
    <row r="305" spans="1:10" ht="15.75" customHeight="1">
      <c r="A305" s="9"/>
      <c r="B305" s="5"/>
      <c r="C305" s="5"/>
      <c r="D305" s="9"/>
      <c r="E305" s="6"/>
      <c r="F305" s="7">
        <f t="shared" ca="1" si="0"/>
        <v>126</v>
      </c>
      <c r="G305" s="5"/>
      <c r="H305" s="5"/>
      <c r="I305" s="5"/>
      <c r="J305" s="5"/>
    </row>
    <row r="306" spans="1:10" ht="15.75" customHeight="1">
      <c r="A306" s="9"/>
      <c r="B306" s="5"/>
      <c r="C306" s="5"/>
      <c r="D306" s="9"/>
      <c r="E306" s="6"/>
      <c r="F306" s="7">
        <f t="shared" ca="1" si="0"/>
        <v>126</v>
      </c>
      <c r="G306" s="5"/>
      <c r="H306" s="5"/>
      <c r="I306" s="5"/>
      <c r="J306" s="5"/>
    </row>
    <row r="307" spans="1:10" ht="15.75" customHeight="1">
      <c r="A307" s="9"/>
      <c r="B307" s="5"/>
      <c r="C307" s="5"/>
      <c r="D307" s="9"/>
      <c r="E307" s="6"/>
      <c r="F307" s="7">
        <f t="shared" ca="1" si="0"/>
        <v>126</v>
      </c>
      <c r="G307" s="5"/>
      <c r="H307" s="5"/>
      <c r="I307" s="5"/>
      <c r="J307" s="5"/>
    </row>
    <row r="308" spans="1:10" ht="15.75" customHeight="1">
      <c r="A308" s="9"/>
      <c r="B308" s="5"/>
      <c r="C308" s="5"/>
      <c r="D308" s="9"/>
      <c r="E308" s="6"/>
      <c r="F308" s="7">
        <f t="shared" ca="1" si="0"/>
        <v>126</v>
      </c>
      <c r="G308" s="5"/>
      <c r="H308" s="5"/>
      <c r="I308" s="5"/>
      <c r="J308" s="5"/>
    </row>
    <row r="309" spans="1:10" ht="15.75" customHeight="1">
      <c r="A309" s="9"/>
      <c r="B309" s="5"/>
      <c r="C309" s="5"/>
      <c r="D309" s="9"/>
      <c r="E309" s="6"/>
      <c r="F309" s="7">
        <f t="shared" ca="1" si="0"/>
        <v>126</v>
      </c>
      <c r="G309" s="5"/>
      <c r="H309" s="5"/>
      <c r="I309" s="5"/>
      <c r="J309" s="5"/>
    </row>
    <row r="310" spans="1:10" ht="15.75" customHeight="1">
      <c r="A310" s="9"/>
      <c r="B310" s="5"/>
      <c r="C310" s="5"/>
      <c r="D310" s="9"/>
      <c r="E310" s="6"/>
      <c r="F310" s="7">
        <f t="shared" ca="1" si="0"/>
        <v>126</v>
      </c>
      <c r="G310" s="5"/>
      <c r="H310" s="5"/>
      <c r="I310" s="5"/>
      <c r="J310" s="5"/>
    </row>
    <row r="311" spans="1:10" ht="15.75" customHeight="1">
      <c r="A311" s="9"/>
      <c r="B311" s="5"/>
      <c r="C311" s="5"/>
      <c r="D311" s="9"/>
      <c r="E311" s="6"/>
      <c r="F311" s="7">
        <f t="shared" ca="1" si="0"/>
        <v>126</v>
      </c>
      <c r="G311" s="5"/>
      <c r="H311" s="5"/>
      <c r="I311" s="5"/>
      <c r="J311" s="5"/>
    </row>
    <row r="312" spans="1:10" ht="15.75" customHeight="1">
      <c r="A312" s="9"/>
      <c r="B312" s="5"/>
      <c r="C312" s="5"/>
      <c r="D312" s="9"/>
      <c r="E312" s="6"/>
      <c r="F312" s="7">
        <f t="shared" ca="1" si="0"/>
        <v>126</v>
      </c>
      <c r="G312" s="5"/>
      <c r="H312" s="5"/>
      <c r="I312" s="5"/>
      <c r="J312" s="5"/>
    </row>
    <row r="313" spans="1:10" ht="15.75" customHeight="1">
      <c r="A313" s="9"/>
      <c r="B313" s="5"/>
      <c r="C313" s="5"/>
      <c r="D313" s="9"/>
      <c r="E313" s="6"/>
      <c r="F313" s="7">
        <f t="shared" ca="1" si="0"/>
        <v>126</v>
      </c>
      <c r="G313" s="5"/>
      <c r="H313" s="5"/>
      <c r="I313" s="5"/>
      <c r="J313" s="5"/>
    </row>
    <row r="314" spans="1:10" ht="15.75" customHeight="1">
      <c r="A314" s="9"/>
      <c r="B314" s="5"/>
      <c r="C314" s="5"/>
      <c r="D314" s="9"/>
      <c r="E314" s="6"/>
      <c r="F314" s="7">
        <f t="shared" ca="1" si="0"/>
        <v>126</v>
      </c>
      <c r="G314" s="5"/>
      <c r="H314" s="5"/>
      <c r="I314" s="5"/>
      <c r="J314" s="5"/>
    </row>
    <row r="315" spans="1:10" ht="15.75" customHeight="1">
      <c r="A315" s="9"/>
      <c r="B315" s="5"/>
      <c r="C315" s="5"/>
      <c r="D315" s="9"/>
      <c r="E315" s="6"/>
      <c r="F315" s="7">
        <f t="shared" ca="1" si="0"/>
        <v>126</v>
      </c>
      <c r="G315" s="5"/>
      <c r="H315" s="5"/>
      <c r="I315" s="5"/>
      <c r="J315" s="5"/>
    </row>
    <row r="316" spans="1:10" ht="15.75" customHeight="1">
      <c r="A316" s="9"/>
      <c r="B316" s="5"/>
      <c r="C316" s="5"/>
      <c r="D316" s="9"/>
      <c r="E316" s="6"/>
      <c r="F316" s="7">
        <f t="shared" ca="1" si="0"/>
        <v>126</v>
      </c>
      <c r="G316" s="5"/>
      <c r="H316" s="5"/>
      <c r="I316" s="5"/>
      <c r="J316" s="5"/>
    </row>
    <row r="317" spans="1:10" ht="15.75" customHeight="1">
      <c r="A317" s="9"/>
      <c r="B317" s="5"/>
      <c r="C317" s="5"/>
      <c r="D317" s="9"/>
      <c r="E317" s="6"/>
      <c r="F317" s="7">
        <f t="shared" ca="1" si="0"/>
        <v>126</v>
      </c>
      <c r="G317" s="5"/>
      <c r="H317" s="5"/>
      <c r="I317" s="5"/>
      <c r="J317" s="5"/>
    </row>
    <row r="318" spans="1:10" ht="15.75" customHeight="1">
      <c r="A318" s="9"/>
      <c r="B318" s="5"/>
      <c r="C318" s="5"/>
      <c r="D318" s="9"/>
      <c r="E318" s="6"/>
      <c r="F318" s="7">
        <f t="shared" ca="1" si="0"/>
        <v>126</v>
      </c>
      <c r="G318" s="5"/>
      <c r="H318" s="5"/>
      <c r="I318" s="5"/>
      <c r="J318" s="5"/>
    </row>
    <row r="319" spans="1:10" ht="15.75" customHeight="1">
      <c r="A319" s="9"/>
      <c r="B319" s="5"/>
      <c r="C319" s="5"/>
      <c r="D319" s="9"/>
      <c r="E319" s="6"/>
      <c r="F319" s="7">
        <f t="shared" ca="1" si="0"/>
        <v>126</v>
      </c>
      <c r="G319" s="5"/>
      <c r="H319" s="5"/>
      <c r="I319" s="5"/>
      <c r="J319" s="5"/>
    </row>
    <row r="320" spans="1:10" ht="15.75" customHeight="1">
      <c r="A320" s="9"/>
      <c r="B320" s="5"/>
      <c r="C320" s="5"/>
      <c r="D320" s="9"/>
      <c r="E320" s="6"/>
      <c r="F320" s="7">
        <f t="shared" ca="1" si="0"/>
        <v>126</v>
      </c>
      <c r="G320" s="5"/>
      <c r="H320" s="5"/>
      <c r="I320" s="5"/>
      <c r="J320" s="5"/>
    </row>
    <row r="321" spans="1:10" ht="15.75" customHeight="1">
      <c r="A321" s="9"/>
      <c r="B321" s="5"/>
      <c r="C321" s="5"/>
      <c r="D321" s="9"/>
      <c r="E321" s="6"/>
      <c r="F321" s="7">
        <f t="shared" ca="1" si="0"/>
        <v>126</v>
      </c>
      <c r="G321" s="5"/>
      <c r="H321" s="5"/>
      <c r="I321" s="5"/>
      <c r="J321" s="5"/>
    </row>
    <row r="322" spans="1:10" ht="15.75" customHeight="1">
      <c r="A322" s="9"/>
      <c r="B322" s="5"/>
      <c r="C322" s="5"/>
      <c r="D322" s="9"/>
      <c r="E322" s="6"/>
      <c r="F322" s="7">
        <f t="shared" ca="1" si="0"/>
        <v>126</v>
      </c>
      <c r="G322" s="5"/>
      <c r="H322" s="5"/>
      <c r="I322" s="5"/>
      <c r="J322" s="5"/>
    </row>
    <row r="323" spans="1:10" ht="15.75" customHeight="1">
      <c r="A323" s="9"/>
      <c r="B323" s="5"/>
      <c r="C323" s="5"/>
      <c r="D323" s="9"/>
      <c r="E323" s="6"/>
      <c r="F323" s="7">
        <f t="shared" ca="1" si="0"/>
        <v>126</v>
      </c>
      <c r="G323" s="5"/>
      <c r="H323" s="5"/>
      <c r="I323" s="5"/>
      <c r="J323" s="5"/>
    </row>
    <row r="324" spans="1:10" ht="15.75" customHeight="1">
      <c r="A324" s="9"/>
      <c r="B324" s="5"/>
      <c r="C324" s="5"/>
      <c r="D324" s="9"/>
      <c r="E324" s="6"/>
      <c r="F324" s="7">
        <f t="shared" ca="1" si="0"/>
        <v>126</v>
      </c>
      <c r="G324" s="5"/>
      <c r="H324" s="5"/>
      <c r="I324" s="5"/>
      <c r="J324" s="5"/>
    </row>
    <row r="325" spans="1:10" ht="15.75" customHeight="1">
      <c r="A325" s="9"/>
      <c r="B325" s="5"/>
      <c r="C325" s="5"/>
      <c r="D325" s="9"/>
      <c r="E325" s="6"/>
      <c r="F325" s="7">
        <f t="shared" ca="1" si="0"/>
        <v>126</v>
      </c>
      <c r="G325" s="5"/>
      <c r="H325" s="5"/>
      <c r="I325" s="5"/>
      <c r="J325" s="5"/>
    </row>
    <row r="326" spans="1:10" ht="15.75" customHeight="1">
      <c r="A326" s="9"/>
      <c r="B326" s="5"/>
      <c r="C326" s="5"/>
      <c r="D326" s="9"/>
      <c r="E326" s="6"/>
      <c r="F326" s="7">
        <f t="shared" ca="1" si="0"/>
        <v>126</v>
      </c>
      <c r="G326" s="5"/>
      <c r="H326" s="5"/>
      <c r="I326" s="5"/>
      <c r="J326" s="5"/>
    </row>
    <row r="327" spans="1:10" ht="15.75" customHeight="1">
      <c r="A327" s="9"/>
      <c r="B327" s="5"/>
      <c r="C327" s="5"/>
      <c r="D327" s="9"/>
      <c r="E327" s="6"/>
      <c r="F327" s="7">
        <f t="shared" ca="1" si="0"/>
        <v>126</v>
      </c>
      <c r="G327" s="5"/>
      <c r="H327" s="5"/>
      <c r="I327" s="5"/>
      <c r="J327" s="5"/>
    </row>
    <row r="328" spans="1:10" ht="15.75" customHeight="1">
      <c r="A328" s="9"/>
      <c r="B328" s="5"/>
      <c r="C328" s="5"/>
      <c r="D328" s="9"/>
      <c r="E328" s="6"/>
      <c r="F328" s="7">
        <f t="shared" ca="1" si="0"/>
        <v>126</v>
      </c>
      <c r="G328" s="5"/>
      <c r="H328" s="5"/>
      <c r="I328" s="5"/>
      <c r="J328" s="5"/>
    </row>
    <row r="329" spans="1:10" ht="15.75" customHeight="1">
      <c r="A329" s="9"/>
      <c r="B329" s="5"/>
      <c r="C329" s="5"/>
      <c r="D329" s="9"/>
      <c r="E329" s="6"/>
      <c r="F329" s="7">
        <f t="shared" ca="1" si="0"/>
        <v>126</v>
      </c>
      <c r="G329" s="5"/>
      <c r="H329" s="5"/>
      <c r="I329" s="5"/>
      <c r="J329" s="5"/>
    </row>
    <row r="330" spans="1:10" ht="15.75" customHeight="1">
      <c r="A330" s="9"/>
      <c r="B330" s="5"/>
      <c r="C330" s="5"/>
      <c r="D330" s="9"/>
      <c r="E330" s="6"/>
      <c r="F330" s="7">
        <f t="shared" ca="1" si="0"/>
        <v>126</v>
      </c>
      <c r="G330" s="5"/>
      <c r="H330" s="5"/>
      <c r="I330" s="5"/>
      <c r="J330" s="5"/>
    </row>
    <row r="331" spans="1:10" ht="15.75" customHeight="1">
      <c r="A331" s="9"/>
      <c r="B331" s="5"/>
      <c r="C331" s="5"/>
      <c r="D331" s="9"/>
      <c r="E331" s="6"/>
      <c r="F331" s="7">
        <f t="shared" ca="1" si="0"/>
        <v>126</v>
      </c>
      <c r="G331" s="5"/>
      <c r="H331" s="5"/>
      <c r="I331" s="5"/>
      <c r="J331" s="5"/>
    </row>
    <row r="332" spans="1:10" ht="15.75" customHeight="1">
      <c r="A332" s="9"/>
      <c r="B332" s="5"/>
      <c r="C332" s="5"/>
      <c r="D332" s="9"/>
      <c r="E332" s="6"/>
      <c r="F332" s="7">
        <f t="shared" ca="1" si="0"/>
        <v>126</v>
      </c>
      <c r="G332" s="5"/>
      <c r="H332" s="5"/>
      <c r="I332" s="5"/>
      <c r="J332" s="5"/>
    </row>
    <row r="333" spans="1:10" ht="15.75" customHeight="1">
      <c r="A333" s="9"/>
      <c r="B333" s="5"/>
      <c r="C333" s="5"/>
      <c r="D333" s="9"/>
      <c r="E333" s="6"/>
      <c r="F333" s="7">
        <f t="shared" ca="1" si="0"/>
        <v>126</v>
      </c>
      <c r="G333" s="5"/>
      <c r="H333" s="5"/>
      <c r="I333" s="5"/>
      <c r="J333" s="5"/>
    </row>
    <row r="334" spans="1:10" ht="15.75" customHeight="1">
      <c r="A334" s="9"/>
      <c r="B334" s="5"/>
      <c r="C334" s="5"/>
      <c r="D334" s="9"/>
      <c r="E334" s="6"/>
      <c r="F334" s="7">
        <f t="shared" ca="1" si="0"/>
        <v>126</v>
      </c>
      <c r="G334" s="5"/>
      <c r="H334" s="5"/>
      <c r="I334" s="5"/>
      <c r="J334" s="5"/>
    </row>
    <row r="335" spans="1:10" ht="15.75" customHeight="1">
      <c r="A335" s="9"/>
      <c r="B335" s="5"/>
      <c r="C335" s="5"/>
      <c r="D335" s="9"/>
      <c r="E335" s="6"/>
      <c r="F335" s="7">
        <f t="shared" ca="1" si="0"/>
        <v>126</v>
      </c>
      <c r="G335" s="5"/>
      <c r="H335" s="5"/>
      <c r="I335" s="5"/>
      <c r="J335" s="5"/>
    </row>
    <row r="336" spans="1:10" ht="15.75" customHeight="1">
      <c r="A336" s="9"/>
      <c r="B336" s="5"/>
      <c r="C336" s="5"/>
      <c r="D336" s="9"/>
      <c r="E336" s="6"/>
      <c r="F336" s="7">
        <f t="shared" ca="1" si="0"/>
        <v>126</v>
      </c>
      <c r="G336" s="5"/>
      <c r="H336" s="5"/>
      <c r="I336" s="5"/>
      <c r="J336" s="5"/>
    </row>
    <row r="337" spans="1:10" ht="15.75" customHeight="1">
      <c r="A337" s="9"/>
      <c r="B337" s="5"/>
      <c r="C337" s="5"/>
      <c r="D337" s="9"/>
      <c r="E337" s="6"/>
      <c r="F337" s="7">
        <f t="shared" ca="1" si="0"/>
        <v>126</v>
      </c>
      <c r="G337" s="5"/>
      <c r="H337" s="5"/>
      <c r="I337" s="5"/>
      <c r="J337" s="5"/>
    </row>
    <row r="338" spans="1:10" ht="15.75" customHeight="1">
      <c r="A338" s="9"/>
      <c r="B338" s="5"/>
      <c r="C338" s="5"/>
      <c r="D338" s="9"/>
      <c r="E338" s="6"/>
      <c r="F338" s="7">
        <f t="shared" ca="1" si="0"/>
        <v>126</v>
      </c>
      <c r="G338" s="5"/>
      <c r="H338" s="5"/>
      <c r="I338" s="5"/>
      <c r="J338" s="5"/>
    </row>
    <row r="339" spans="1:10" ht="15.75" customHeight="1">
      <c r="A339" s="9"/>
      <c r="B339" s="5"/>
      <c r="C339" s="5"/>
      <c r="D339" s="9"/>
      <c r="E339" s="6"/>
      <c r="F339" s="7">
        <f t="shared" ca="1" si="0"/>
        <v>126</v>
      </c>
      <c r="G339" s="5"/>
      <c r="H339" s="5"/>
      <c r="I339" s="5"/>
      <c r="J339" s="5"/>
    </row>
    <row r="340" spans="1:10" ht="15.75" customHeight="1">
      <c r="A340" s="9"/>
      <c r="B340" s="5"/>
      <c r="C340" s="5"/>
      <c r="D340" s="9"/>
      <c r="E340" s="6"/>
      <c r="F340" s="7">
        <f t="shared" ca="1" si="0"/>
        <v>126</v>
      </c>
      <c r="G340" s="5"/>
      <c r="H340" s="5"/>
      <c r="I340" s="5"/>
      <c r="J340" s="5"/>
    </row>
    <row r="341" spans="1:10" ht="15.75" customHeight="1">
      <c r="A341" s="9"/>
      <c r="B341" s="5"/>
      <c r="C341" s="5"/>
      <c r="D341" s="9"/>
      <c r="E341" s="6"/>
      <c r="F341" s="7">
        <f t="shared" ca="1" si="0"/>
        <v>126</v>
      </c>
      <c r="G341" s="5"/>
      <c r="H341" s="5"/>
      <c r="I341" s="5"/>
      <c r="J341" s="5"/>
    </row>
    <row r="342" spans="1:10" ht="15.75" customHeight="1">
      <c r="A342" s="9"/>
      <c r="B342" s="5"/>
      <c r="C342" s="5"/>
      <c r="D342" s="9"/>
      <c r="E342" s="6"/>
      <c r="F342" s="7">
        <f t="shared" ca="1" si="0"/>
        <v>126</v>
      </c>
      <c r="G342" s="5"/>
      <c r="H342" s="5"/>
      <c r="I342" s="5"/>
      <c r="J342" s="5"/>
    </row>
    <row r="343" spans="1:10" ht="15.75" customHeight="1">
      <c r="A343" s="9"/>
      <c r="B343" s="5"/>
      <c r="C343" s="5"/>
      <c r="D343" s="9"/>
      <c r="E343" s="6"/>
      <c r="F343" s="7">
        <f t="shared" ca="1" si="0"/>
        <v>126</v>
      </c>
      <c r="G343" s="5"/>
      <c r="H343" s="5"/>
      <c r="I343" s="5"/>
      <c r="J343" s="5"/>
    </row>
    <row r="344" spans="1:10" ht="15.75" customHeight="1">
      <c r="A344" s="9"/>
      <c r="B344" s="5"/>
      <c r="C344" s="5"/>
      <c r="D344" s="9"/>
      <c r="E344" s="6"/>
      <c r="F344" s="7">
        <f t="shared" ca="1" si="0"/>
        <v>126</v>
      </c>
      <c r="G344" s="5"/>
      <c r="H344" s="5"/>
      <c r="I344" s="5"/>
      <c r="J344" s="5"/>
    </row>
    <row r="345" spans="1:10" ht="15.75" customHeight="1">
      <c r="A345" s="9"/>
      <c r="B345" s="5"/>
      <c r="C345" s="5"/>
      <c r="D345" s="9"/>
      <c r="E345" s="6"/>
      <c r="F345" s="7">
        <f t="shared" ca="1" si="0"/>
        <v>126</v>
      </c>
      <c r="G345" s="5"/>
      <c r="H345" s="5"/>
      <c r="I345" s="5"/>
      <c r="J345" s="5"/>
    </row>
    <row r="346" spans="1:10" ht="15.75" customHeight="1">
      <c r="A346" s="9"/>
      <c r="B346" s="5"/>
      <c r="C346" s="5"/>
      <c r="D346" s="9"/>
      <c r="E346" s="6"/>
      <c r="F346" s="7">
        <f t="shared" ca="1" si="0"/>
        <v>126</v>
      </c>
      <c r="G346" s="5"/>
      <c r="H346" s="5"/>
      <c r="I346" s="5"/>
      <c r="J346" s="5"/>
    </row>
    <row r="347" spans="1:10" ht="15.75" customHeight="1">
      <c r="A347" s="9"/>
      <c r="B347" s="5"/>
      <c r="C347" s="5"/>
      <c r="D347" s="9"/>
      <c r="E347" s="6"/>
      <c r="F347" s="7">
        <f t="shared" ca="1" si="0"/>
        <v>126</v>
      </c>
      <c r="G347" s="5"/>
      <c r="H347" s="5"/>
      <c r="I347" s="5"/>
      <c r="J347" s="5"/>
    </row>
    <row r="348" spans="1:10" ht="15.75" customHeight="1">
      <c r="A348" s="9"/>
      <c r="B348" s="5"/>
      <c r="C348" s="5"/>
      <c r="D348" s="9"/>
      <c r="E348" s="6"/>
      <c r="F348" s="7">
        <f t="shared" ca="1" si="0"/>
        <v>126</v>
      </c>
      <c r="G348" s="5"/>
      <c r="H348" s="5"/>
      <c r="I348" s="5"/>
      <c r="J348" s="5"/>
    </row>
    <row r="349" spans="1:10" ht="15.75" customHeight="1">
      <c r="A349" s="9"/>
      <c r="B349" s="5"/>
      <c r="C349" s="5"/>
      <c r="D349" s="9"/>
      <c r="E349" s="6"/>
      <c r="F349" s="7">
        <f t="shared" ca="1" si="0"/>
        <v>126</v>
      </c>
      <c r="G349" s="5"/>
      <c r="H349" s="5"/>
      <c r="I349" s="5"/>
      <c r="J349" s="5"/>
    </row>
    <row r="350" spans="1:10" ht="15.75" customHeight="1">
      <c r="A350" s="9"/>
      <c r="B350" s="5"/>
      <c r="C350" s="5"/>
      <c r="D350" s="9"/>
      <c r="E350" s="6"/>
      <c r="F350" s="7">
        <f t="shared" ca="1" si="0"/>
        <v>126</v>
      </c>
      <c r="G350" s="5"/>
      <c r="H350" s="5"/>
      <c r="I350" s="5"/>
      <c r="J350" s="5"/>
    </row>
    <row r="351" spans="1:10" ht="15.75" customHeight="1">
      <c r="A351" s="9"/>
      <c r="B351" s="5"/>
      <c r="C351" s="5"/>
      <c r="D351" s="9"/>
      <c r="E351" s="6"/>
      <c r="F351" s="7">
        <f t="shared" ca="1" si="0"/>
        <v>126</v>
      </c>
      <c r="G351" s="5"/>
      <c r="H351" s="5"/>
      <c r="I351" s="5"/>
      <c r="J351" s="5"/>
    </row>
    <row r="352" spans="1:10" ht="15.75" customHeight="1">
      <c r="A352" s="9"/>
      <c r="B352" s="5"/>
      <c r="C352" s="5"/>
      <c r="D352" s="9"/>
      <c r="E352" s="6"/>
      <c r="F352" s="7">
        <f t="shared" ca="1" si="0"/>
        <v>126</v>
      </c>
      <c r="G352" s="5"/>
      <c r="H352" s="5"/>
      <c r="I352" s="5"/>
      <c r="J352" s="5"/>
    </row>
    <row r="353" spans="1:10" ht="15.75" customHeight="1">
      <c r="A353" s="9"/>
      <c r="B353" s="5"/>
      <c r="C353" s="5"/>
      <c r="D353" s="9"/>
      <c r="E353" s="6"/>
      <c r="F353" s="7">
        <f t="shared" ca="1" si="0"/>
        <v>126</v>
      </c>
      <c r="G353" s="5"/>
      <c r="H353" s="5"/>
      <c r="I353" s="5"/>
      <c r="J353" s="5"/>
    </row>
    <row r="354" spans="1:10" ht="15.75" customHeight="1">
      <c r="A354" s="9"/>
      <c r="B354" s="5"/>
      <c r="C354" s="5"/>
      <c r="D354" s="9"/>
      <c r="E354" s="6"/>
      <c r="F354" s="7">
        <f t="shared" ca="1" si="0"/>
        <v>126</v>
      </c>
      <c r="G354" s="5"/>
      <c r="H354" s="5"/>
      <c r="I354" s="5"/>
      <c r="J354" s="5"/>
    </row>
    <row r="355" spans="1:10" ht="15.75" customHeight="1">
      <c r="A355" s="9"/>
      <c r="B355" s="5"/>
      <c r="C355" s="5"/>
      <c r="D355" s="9"/>
      <c r="E355" s="6"/>
      <c r="F355" s="7">
        <f t="shared" ca="1" si="0"/>
        <v>126</v>
      </c>
      <c r="G355" s="5"/>
      <c r="H355" s="5"/>
      <c r="I355" s="5"/>
      <c r="J355" s="5"/>
    </row>
    <row r="356" spans="1:10" ht="15.75" customHeight="1">
      <c r="A356" s="9"/>
      <c r="B356" s="5"/>
      <c r="C356" s="5"/>
      <c r="D356" s="9"/>
      <c r="E356" s="6"/>
      <c r="F356" s="7">
        <f t="shared" ca="1" si="0"/>
        <v>126</v>
      </c>
      <c r="G356" s="5"/>
      <c r="H356" s="5"/>
      <c r="I356" s="5"/>
      <c r="J356" s="5"/>
    </row>
    <row r="357" spans="1:10" ht="15.75" customHeight="1">
      <c r="A357" s="9"/>
      <c r="B357" s="5"/>
      <c r="C357" s="5"/>
      <c r="D357" s="9"/>
      <c r="E357" s="6"/>
      <c r="F357" s="7">
        <f t="shared" ca="1" si="0"/>
        <v>126</v>
      </c>
      <c r="G357" s="5"/>
      <c r="H357" s="5"/>
      <c r="I357" s="5"/>
      <c r="J357" s="5"/>
    </row>
    <row r="358" spans="1:10" ht="15.75" customHeight="1">
      <c r="A358" s="9"/>
      <c r="B358" s="5"/>
      <c r="C358" s="5"/>
      <c r="D358" s="9"/>
      <c r="E358" s="6"/>
      <c r="F358" s="7">
        <f t="shared" ca="1" si="0"/>
        <v>126</v>
      </c>
      <c r="G358" s="5"/>
      <c r="H358" s="5"/>
      <c r="I358" s="5"/>
      <c r="J358" s="5"/>
    </row>
    <row r="359" spans="1:10" ht="15.75" customHeight="1">
      <c r="A359" s="9"/>
      <c r="B359" s="5"/>
      <c r="C359" s="5"/>
      <c r="D359" s="9"/>
      <c r="E359" s="6"/>
      <c r="F359" s="7">
        <f t="shared" ca="1" si="0"/>
        <v>126</v>
      </c>
      <c r="G359" s="5"/>
      <c r="H359" s="5"/>
      <c r="I359" s="5"/>
      <c r="J359" s="5"/>
    </row>
    <row r="360" spans="1:10" ht="15.75" customHeight="1">
      <c r="A360" s="9"/>
      <c r="B360" s="5"/>
      <c r="C360" s="5"/>
      <c r="D360" s="9"/>
      <c r="E360" s="6"/>
      <c r="F360" s="7">
        <f t="shared" ca="1" si="0"/>
        <v>126</v>
      </c>
      <c r="G360" s="5"/>
      <c r="H360" s="5"/>
      <c r="I360" s="5"/>
      <c r="J360" s="5"/>
    </row>
    <row r="361" spans="1:10" ht="15.75" customHeight="1">
      <c r="A361" s="9"/>
      <c r="B361" s="5"/>
      <c r="C361" s="5"/>
      <c r="D361" s="9"/>
      <c r="E361" s="6"/>
      <c r="F361" s="7">
        <f t="shared" ca="1" si="0"/>
        <v>126</v>
      </c>
      <c r="G361" s="5"/>
      <c r="H361" s="5"/>
      <c r="I361" s="5"/>
      <c r="J361" s="5"/>
    </row>
    <row r="362" spans="1:10" ht="15.75" customHeight="1">
      <c r="A362" s="9"/>
      <c r="B362" s="5"/>
      <c r="C362" s="5"/>
      <c r="D362" s="9"/>
      <c r="E362" s="6"/>
      <c r="F362" s="7">
        <f t="shared" ca="1" si="0"/>
        <v>126</v>
      </c>
      <c r="G362" s="5"/>
      <c r="H362" s="5"/>
      <c r="I362" s="5"/>
      <c r="J362" s="5"/>
    </row>
    <row r="363" spans="1:10" ht="15.75" customHeight="1">
      <c r="A363" s="9"/>
      <c r="B363" s="5"/>
      <c r="C363" s="5"/>
      <c r="D363" s="9"/>
      <c r="E363" s="6"/>
      <c r="F363" s="7">
        <f t="shared" ca="1" si="0"/>
        <v>126</v>
      </c>
      <c r="G363" s="5"/>
      <c r="H363" s="5"/>
      <c r="I363" s="5"/>
      <c r="J363" s="5"/>
    </row>
    <row r="364" spans="1:10" ht="15.75" customHeight="1">
      <c r="A364" s="9"/>
      <c r="B364" s="5"/>
      <c r="C364" s="5"/>
      <c r="D364" s="9"/>
      <c r="E364" s="6"/>
      <c r="F364" s="7">
        <f t="shared" ca="1" si="0"/>
        <v>126</v>
      </c>
      <c r="G364" s="5"/>
      <c r="H364" s="5"/>
      <c r="I364" s="5"/>
      <c r="J364" s="5"/>
    </row>
    <row r="365" spans="1:10" ht="15.75" customHeight="1">
      <c r="A365" s="9"/>
      <c r="B365" s="5"/>
      <c r="C365" s="5"/>
      <c r="D365" s="9"/>
      <c r="E365" s="6"/>
      <c r="F365" s="7">
        <f t="shared" ca="1" si="0"/>
        <v>126</v>
      </c>
      <c r="G365" s="5"/>
      <c r="H365" s="5"/>
      <c r="I365" s="5"/>
      <c r="J365" s="5"/>
    </row>
    <row r="366" spans="1:10" ht="15.75" customHeight="1">
      <c r="A366" s="9"/>
      <c r="B366" s="5"/>
      <c r="C366" s="5"/>
      <c r="D366" s="9"/>
      <c r="E366" s="6"/>
      <c r="F366" s="7">
        <f t="shared" ca="1" si="0"/>
        <v>126</v>
      </c>
      <c r="G366" s="5"/>
      <c r="H366" s="5"/>
      <c r="I366" s="5"/>
      <c r="J366" s="5"/>
    </row>
    <row r="367" spans="1:10" ht="15.75" customHeight="1">
      <c r="A367" s="9"/>
      <c r="B367" s="5"/>
      <c r="C367" s="5"/>
      <c r="D367" s="9"/>
      <c r="E367" s="6"/>
      <c r="F367" s="7">
        <f t="shared" ca="1" si="0"/>
        <v>126</v>
      </c>
      <c r="G367" s="5"/>
      <c r="H367" s="5"/>
      <c r="I367" s="5"/>
      <c r="J367" s="5"/>
    </row>
    <row r="368" spans="1:10" ht="15.75" customHeight="1">
      <c r="A368" s="9"/>
      <c r="B368" s="5"/>
      <c r="C368" s="5"/>
      <c r="D368" s="9"/>
      <c r="E368" s="6"/>
      <c r="F368" s="7">
        <f t="shared" ca="1" si="0"/>
        <v>126</v>
      </c>
      <c r="G368" s="5"/>
      <c r="H368" s="5"/>
      <c r="I368" s="5"/>
      <c r="J368" s="5"/>
    </row>
    <row r="369" spans="1:10" ht="15.75" customHeight="1">
      <c r="A369" s="9"/>
      <c r="B369" s="5"/>
      <c r="C369" s="5"/>
      <c r="D369" s="9"/>
      <c r="E369" s="6"/>
      <c r="F369" s="7">
        <f t="shared" ca="1" si="0"/>
        <v>126</v>
      </c>
      <c r="G369" s="5"/>
      <c r="H369" s="5"/>
      <c r="I369" s="5"/>
      <c r="J369" s="5"/>
    </row>
    <row r="370" spans="1:10" ht="15.75" customHeight="1">
      <c r="A370" s="9"/>
      <c r="B370" s="5"/>
      <c r="C370" s="5"/>
      <c r="D370" s="9"/>
      <c r="E370" s="6"/>
      <c r="F370" s="7">
        <f t="shared" ca="1" si="0"/>
        <v>126</v>
      </c>
      <c r="G370" s="5"/>
      <c r="H370" s="5"/>
      <c r="I370" s="5"/>
      <c r="J370" s="5"/>
    </row>
    <row r="371" spans="1:10" ht="15.75" customHeight="1">
      <c r="A371" s="9"/>
      <c r="B371" s="5"/>
      <c r="C371" s="5"/>
      <c r="D371" s="9"/>
      <c r="E371" s="6"/>
      <c r="F371" s="7">
        <f t="shared" ca="1" si="0"/>
        <v>126</v>
      </c>
      <c r="G371" s="5"/>
      <c r="H371" s="5"/>
      <c r="I371" s="5"/>
      <c r="J371" s="5"/>
    </row>
    <row r="372" spans="1:10" ht="15.75" customHeight="1">
      <c r="A372" s="9"/>
      <c r="B372" s="5"/>
      <c r="C372" s="5"/>
      <c r="D372" s="9"/>
      <c r="E372" s="6"/>
      <c r="F372" s="7">
        <f t="shared" ca="1" si="0"/>
        <v>126</v>
      </c>
      <c r="G372" s="5"/>
      <c r="H372" s="5"/>
      <c r="I372" s="5"/>
      <c r="J372" s="5"/>
    </row>
    <row r="373" spans="1:10" ht="15.75" customHeight="1">
      <c r="A373" s="9"/>
      <c r="B373" s="5"/>
      <c r="C373" s="5"/>
      <c r="D373" s="9"/>
      <c r="E373" s="6"/>
      <c r="F373" s="7">
        <f t="shared" ca="1" si="0"/>
        <v>126</v>
      </c>
      <c r="G373" s="5"/>
      <c r="H373" s="5"/>
      <c r="I373" s="5"/>
      <c r="J373" s="5"/>
    </row>
    <row r="374" spans="1:10" ht="15.75" customHeight="1">
      <c r="A374" s="9"/>
      <c r="B374" s="5"/>
      <c r="C374" s="5"/>
      <c r="D374" s="9"/>
      <c r="E374" s="6"/>
      <c r="F374" s="7">
        <f t="shared" ca="1" si="0"/>
        <v>126</v>
      </c>
      <c r="G374" s="5"/>
      <c r="H374" s="5"/>
      <c r="I374" s="5"/>
      <c r="J374" s="5"/>
    </row>
    <row r="375" spans="1:10" ht="15.75" customHeight="1">
      <c r="A375" s="9"/>
      <c r="B375" s="5"/>
      <c r="C375" s="5"/>
      <c r="D375" s="9"/>
      <c r="E375" s="6"/>
      <c r="F375" s="7">
        <f t="shared" ca="1" si="0"/>
        <v>126</v>
      </c>
      <c r="G375" s="5"/>
      <c r="H375" s="5"/>
      <c r="I375" s="5"/>
      <c r="J375" s="5"/>
    </row>
    <row r="376" spans="1:10" ht="15.75" customHeight="1">
      <c r="A376" s="9"/>
      <c r="B376" s="5"/>
      <c r="C376" s="5"/>
      <c r="D376" s="9"/>
      <c r="E376" s="6"/>
      <c r="F376" s="7">
        <f t="shared" ca="1" si="0"/>
        <v>126</v>
      </c>
      <c r="G376" s="5"/>
      <c r="H376" s="5"/>
      <c r="I376" s="5"/>
      <c r="J376" s="5"/>
    </row>
    <row r="377" spans="1:10" ht="15.75" customHeight="1">
      <c r="A377" s="9"/>
      <c r="B377" s="5"/>
      <c r="C377" s="5"/>
      <c r="D377" s="9"/>
      <c r="E377" s="6"/>
      <c r="F377" s="7">
        <f t="shared" ca="1" si="0"/>
        <v>126</v>
      </c>
      <c r="G377" s="5"/>
      <c r="H377" s="5"/>
      <c r="I377" s="5"/>
      <c r="J377" s="5"/>
    </row>
    <row r="378" spans="1:10" ht="15.75" customHeight="1">
      <c r="A378" s="9"/>
      <c r="B378" s="5"/>
      <c r="C378" s="5"/>
      <c r="D378" s="9"/>
      <c r="E378" s="6"/>
      <c r="F378" s="7">
        <f t="shared" ca="1" si="0"/>
        <v>126</v>
      </c>
      <c r="G378" s="5"/>
      <c r="H378" s="5"/>
      <c r="I378" s="5"/>
      <c r="J378" s="5"/>
    </row>
    <row r="379" spans="1:10" ht="15.75" customHeight="1">
      <c r="A379" s="9"/>
      <c r="B379" s="5"/>
      <c r="C379" s="5"/>
      <c r="D379" s="9"/>
      <c r="E379" s="6"/>
      <c r="F379" s="7">
        <f t="shared" ca="1" si="0"/>
        <v>126</v>
      </c>
      <c r="G379" s="5"/>
      <c r="H379" s="5"/>
      <c r="I379" s="5"/>
      <c r="J379" s="5"/>
    </row>
    <row r="380" spans="1:10" ht="15.75" customHeight="1">
      <c r="A380" s="9"/>
      <c r="B380" s="5"/>
      <c r="C380" s="5"/>
      <c r="D380" s="9"/>
      <c r="E380" s="6"/>
      <c r="F380" s="7">
        <f t="shared" ca="1" si="0"/>
        <v>126</v>
      </c>
      <c r="G380" s="5"/>
      <c r="H380" s="5"/>
      <c r="I380" s="5"/>
      <c r="J380" s="5"/>
    </row>
    <row r="381" spans="1:10" ht="15.75" customHeight="1">
      <c r="A381" s="9"/>
      <c r="B381" s="5"/>
      <c r="C381" s="5"/>
      <c r="D381" s="9"/>
      <c r="E381" s="6"/>
      <c r="F381" s="7">
        <f t="shared" ca="1" si="0"/>
        <v>126</v>
      </c>
      <c r="G381" s="5"/>
      <c r="H381" s="5"/>
      <c r="I381" s="5"/>
      <c r="J381" s="5"/>
    </row>
    <row r="382" spans="1:10" ht="15.75" customHeight="1">
      <c r="A382" s="9"/>
      <c r="B382" s="5"/>
      <c r="C382" s="5"/>
      <c r="D382" s="9"/>
      <c r="E382" s="6"/>
      <c r="F382" s="7">
        <f t="shared" ca="1" si="0"/>
        <v>126</v>
      </c>
      <c r="G382" s="5"/>
      <c r="H382" s="5"/>
      <c r="I382" s="5"/>
      <c r="J382" s="5"/>
    </row>
    <row r="383" spans="1:10" ht="15.75" customHeight="1">
      <c r="A383" s="9"/>
      <c r="B383" s="5"/>
      <c r="C383" s="5"/>
      <c r="D383" s="9"/>
      <c r="E383" s="6"/>
      <c r="F383" s="7">
        <f t="shared" ca="1" si="0"/>
        <v>126</v>
      </c>
      <c r="G383" s="5"/>
      <c r="H383" s="5"/>
      <c r="I383" s="5"/>
      <c r="J383" s="5"/>
    </row>
    <row r="384" spans="1:10" ht="15.75" customHeight="1">
      <c r="A384" s="9"/>
      <c r="B384" s="5"/>
      <c r="C384" s="5"/>
      <c r="D384" s="9"/>
      <c r="E384" s="6"/>
      <c r="F384" s="7">
        <f t="shared" ca="1" si="0"/>
        <v>126</v>
      </c>
      <c r="G384" s="5"/>
      <c r="H384" s="5"/>
      <c r="I384" s="5"/>
      <c r="J384" s="5"/>
    </row>
    <row r="385" spans="1:10" ht="15.75" customHeight="1">
      <c r="A385" s="9"/>
      <c r="B385" s="5"/>
      <c r="C385" s="5"/>
      <c r="D385" s="9"/>
      <c r="E385" s="6"/>
      <c r="F385" s="7">
        <f t="shared" ca="1" si="0"/>
        <v>126</v>
      </c>
      <c r="G385" s="5"/>
      <c r="H385" s="5"/>
      <c r="I385" s="5"/>
      <c r="J385" s="5"/>
    </row>
    <row r="386" spans="1:10" ht="15.75" customHeight="1">
      <c r="A386" s="9"/>
      <c r="B386" s="5"/>
      <c r="C386" s="5"/>
      <c r="D386" s="9"/>
      <c r="E386" s="6"/>
      <c r="F386" s="7">
        <f t="shared" ca="1" si="0"/>
        <v>126</v>
      </c>
      <c r="G386" s="5"/>
      <c r="H386" s="5"/>
      <c r="I386" s="5"/>
      <c r="J386" s="5"/>
    </row>
    <row r="387" spans="1:10" ht="15.75" customHeight="1">
      <c r="A387" s="9"/>
      <c r="B387" s="5"/>
      <c r="C387" s="5"/>
      <c r="D387" s="9"/>
      <c r="E387" s="6"/>
      <c r="F387" s="7">
        <f t="shared" ca="1" si="0"/>
        <v>126</v>
      </c>
      <c r="G387" s="5"/>
      <c r="H387" s="5"/>
      <c r="I387" s="5"/>
      <c r="J387" s="5"/>
    </row>
    <row r="388" spans="1:10" ht="15.75" customHeight="1">
      <c r="A388" s="9"/>
      <c r="B388" s="5"/>
      <c r="C388" s="5"/>
      <c r="D388" s="9"/>
      <c r="E388" s="6"/>
      <c r="F388" s="7">
        <f t="shared" ca="1" si="0"/>
        <v>126</v>
      </c>
      <c r="G388" s="5"/>
      <c r="H388" s="5"/>
      <c r="I388" s="5"/>
      <c r="J388" s="5"/>
    </row>
    <row r="389" spans="1:10" ht="15.75" customHeight="1">
      <c r="A389" s="9"/>
      <c r="B389" s="5"/>
      <c r="C389" s="5"/>
      <c r="D389" s="9"/>
      <c r="E389" s="6"/>
      <c r="F389" s="7">
        <f t="shared" ca="1" si="0"/>
        <v>126</v>
      </c>
      <c r="G389" s="5"/>
      <c r="H389" s="5"/>
      <c r="I389" s="5"/>
      <c r="J389" s="5"/>
    </row>
    <row r="390" spans="1:10" ht="15.75" customHeight="1">
      <c r="A390" s="9"/>
      <c r="B390" s="5"/>
      <c r="C390" s="5"/>
      <c r="D390" s="9"/>
      <c r="E390" s="6"/>
      <c r="F390" s="7">
        <f t="shared" ca="1" si="0"/>
        <v>126</v>
      </c>
      <c r="G390" s="5"/>
      <c r="H390" s="5"/>
      <c r="I390" s="5"/>
      <c r="J390" s="5"/>
    </row>
    <row r="391" spans="1:10" ht="15.75" customHeight="1">
      <c r="A391" s="9"/>
      <c r="B391" s="5"/>
      <c r="C391" s="5"/>
      <c r="D391" s="9"/>
      <c r="E391" s="6"/>
      <c r="F391" s="7">
        <f t="shared" ca="1" si="0"/>
        <v>126</v>
      </c>
      <c r="G391" s="5"/>
      <c r="H391" s="5"/>
      <c r="I391" s="5"/>
      <c r="J391" s="5"/>
    </row>
    <row r="392" spans="1:10" ht="15.75" customHeight="1">
      <c r="A392" s="9"/>
      <c r="B392" s="5"/>
      <c r="C392" s="5"/>
      <c r="D392" s="9"/>
      <c r="E392" s="6"/>
      <c r="F392" s="7">
        <f t="shared" ca="1" si="0"/>
        <v>126</v>
      </c>
      <c r="G392" s="5"/>
      <c r="H392" s="5"/>
      <c r="I392" s="5"/>
      <c r="J392" s="5"/>
    </row>
    <row r="393" spans="1:10" ht="15.75" customHeight="1">
      <c r="A393" s="9"/>
      <c r="B393" s="5"/>
      <c r="C393" s="5"/>
      <c r="D393" s="9"/>
      <c r="E393" s="6"/>
      <c r="F393" s="7">
        <f t="shared" ca="1" si="0"/>
        <v>126</v>
      </c>
      <c r="G393" s="5"/>
      <c r="H393" s="5"/>
      <c r="I393" s="5"/>
      <c r="J393" s="5"/>
    </row>
    <row r="394" spans="1:10" ht="15.75" customHeight="1">
      <c r="A394" s="9"/>
      <c r="B394" s="5"/>
      <c r="C394" s="5"/>
      <c r="D394" s="9"/>
      <c r="E394" s="6"/>
      <c r="F394" s="7">
        <f t="shared" ca="1" si="0"/>
        <v>126</v>
      </c>
      <c r="G394" s="5"/>
      <c r="H394" s="5"/>
      <c r="I394" s="5"/>
      <c r="J394" s="5"/>
    </row>
    <row r="395" spans="1:10" ht="15.75" customHeight="1">
      <c r="A395" s="9"/>
      <c r="B395" s="5"/>
      <c r="C395" s="5"/>
      <c r="D395" s="9"/>
      <c r="E395" s="6"/>
      <c r="F395" s="7">
        <f t="shared" ca="1" si="0"/>
        <v>126</v>
      </c>
      <c r="G395" s="5"/>
      <c r="H395" s="5"/>
      <c r="I395" s="5"/>
      <c r="J395" s="5"/>
    </row>
    <row r="396" spans="1:10" ht="15.75" customHeight="1">
      <c r="A396" s="9"/>
      <c r="B396" s="5"/>
      <c r="C396" s="5"/>
      <c r="D396" s="9"/>
      <c r="E396" s="6"/>
      <c r="F396" s="7">
        <f t="shared" ca="1" si="0"/>
        <v>126</v>
      </c>
      <c r="G396" s="5"/>
      <c r="H396" s="5"/>
      <c r="I396" s="5"/>
      <c r="J396" s="5"/>
    </row>
    <row r="397" spans="1:10" ht="15.75" customHeight="1">
      <c r="A397" s="9"/>
      <c r="B397" s="5"/>
      <c r="C397" s="5"/>
      <c r="D397" s="9"/>
      <c r="E397" s="6"/>
      <c r="F397" s="7">
        <f t="shared" ca="1" si="0"/>
        <v>126</v>
      </c>
      <c r="G397" s="5"/>
      <c r="H397" s="5"/>
      <c r="I397" s="5"/>
      <c r="J397" s="5"/>
    </row>
    <row r="398" spans="1:10" ht="15.75" customHeight="1">
      <c r="A398" s="9"/>
      <c r="B398" s="5"/>
      <c r="C398" s="5"/>
      <c r="D398" s="9"/>
      <c r="E398" s="6"/>
      <c r="F398" s="7">
        <f t="shared" ca="1" si="0"/>
        <v>126</v>
      </c>
      <c r="G398" s="5"/>
      <c r="H398" s="5"/>
      <c r="I398" s="5"/>
      <c r="J398" s="5"/>
    </row>
    <row r="399" spans="1:10" ht="15.75" customHeight="1">
      <c r="A399" s="9"/>
      <c r="B399" s="5"/>
      <c r="C399" s="5"/>
      <c r="D399" s="9"/>
      <c r="E399" s="6"/>
      <c r="F399" s="7">
        <f t="shared" ca="1" si="0"/>
        <v>126</v>
      </c>
      <c r="G399" s="5"/>
      <c r="H399" s="5"/>
      <c r="I399" s="5"/>
      <c r="J399" s="5"/>
    </row>
    <row r="400" spans="1:10" ht="15.75" customHeight="1">
      <c r="A400" s="9"/>
      <c r="B400" s="5"/>
      <c r="C400" s="5"/>
      <c r="D400" s="9"/>
      <c r="E400" s="6"/>
      <c r="F400" s="7">
        <f t="shared" ca="1" si="0"/>
        <v>126</v>
      </c>
      <c r="G400" s="5"/>
      <c r="H400" s="5"/>
      <c r="I400" s="5"/>
      <c r="J400" s="5"/>
    </row>
    <row r="401" spans="1:10" ht="15.75" customHeight="1">
      <c r="A401" s="9"/>
      <c r="B401" s="5"/>
      <c r="C401" s="5"/>
      <c r="D401" s="9"/>
      <c r="E401" s="6"/>
      <c r="F401" s="7">
        <f t="shared" ca="1" si="0"/>
        <v>126</v>
      </c>
      <c r="G401" s="5"/>
      <c r="H401" s="5"/>
      <c r="I401" s="5"/>
      <c r="J401" s="5"/>
    </row>
    <row r="402" spans="1:10" ht="15.75" customHeight="1">
      <c r="A402" s="9"/>
      <c r="B402" s="5"/>
      <c r="C402" s="5"/>
      <c r="D402" s="9"/>
      <c r="E402" s="6"/>
      <c r="F402" s="7">
        <f t="shared" ca="1" si="0"/>
        <v>126</v>
      </c>
      <c r="G402" s="5"/>
      <c r="H402" s="5"/>
      <c r="I402" s="5"/>
      <c r="J402" s="5"/>
    </row>
    <row r="403" spans="1:10" ht="15.75" customHeight="1">
      <c r="A403" s="9"/>
      <c r="B403" s="5"/>
      <c r="C403" s="5"/>
      <c r="D403" s="9"/>
      <c r="E403" s="6"/>
      <c r="F403" s="7">
        <f t="shared" ca="1" si="0"/>
        <v>126</v>
      </c>
      <c r="G403" s="5"/>
      <c r="H403" s="5"/>
      <c r="I403" s="5"/>
      <c r="J403" s="5"/>
    </row>
    <row r="404" spans="1:10" ht="15.75" customHeight="1">
      <c r="A404" s="9"/>
      <c r="B404" s="5"/>
      <c r="C404" s="5"/>
      <c r="D404" s="9"/>
      <c r="E404" s="6"/>
      <c r="F404" s="7">
        <f t="shared" ca="1" si="0"/>
        <v>126</v>
      </c>
      <c r="G404" s="5"/>
      <c r="H404" s="5"/>
      <c r="I404" s="5"/>
      <c r="J404" s="5"/>
    </row>
    <row r="405" spans="1:10" ht="15.75" customHeight="1">
      <c r="A405" s="9"/>
      <c r="B405" s="5"/>
      <c r="C405" s="5"/>
      <c r="D405" s="9"/>
      <c r="E405" s="6"/>
      <c r="F405" s="7">
        <f t="shared" ca="1" si="0"/>
        <v>126</v>
      </c>
      <c r="G405" s="5"/>
      <c r="H405" s="5"/>
      <c r="I405" s="5"/>
      <c r="J405" s="5"/>
    </row>
    <row r="406" spans="1:10" ht="15.75" customHeight="1">
      <c r="A406" s="9"/>
      <c r="B406" s="5"/>
      <c r="C406" s="5"/>
      <c r="D406" s="9"/>
      <c r="E406" s="6"/>
      <c r="F406" s="7">
        <f t="shared" ca="1" si="0"/>
        <v>126</v>
      </c>
      <c r="G406" s="5"/>
      <c r="H406" s="5"/>
      <c r="I406" s="5"/>
      <c r="J406" s="5"/>
    </row>
    <row r="407" spans="1:10" ht="15.75" customHeight="1">
      <c r="A407" s="9"/>
      <c r="B407" s="5"/>
      <c r="C407" s="5"/>
      <c r="D407" s="9"/>
      <c r="E407" s="6"/>
      <c r="F407" s="7">
        <f t="shared" ca="1" si="0"/>
        <v>126</v>
      </c>
      <c r="G407" s="5"/>
      <c r="H407" s="5"/>
      <c r="I407" s="5"/>
      <c r="J407" s="5"/>
    </row>
    <row r="408" spans="1:10" ht="15.75" customHeight="1">
      <c r="A408" s="9"/>
      <c r="B408" s="5"/>
      <c r="C408" s="5"/>
      <c r="D408" s="9"/>
      <c r="E408" s="6"/>
      <c r="F408" s="7">
        <f t="shared" ca="1" si="0"/>
        <v>126</v>
      </c>
      <c r="G408" s="5"/>
      <c r="H408" s="5"/>
      <c r="I408" s="5"/>
      <c r="J408" s="5"/>
    </row>
    <row r="409" spans="1:10" ht="15.75" customHeight="1">
      <c r="A409" s="9"/>
      <c r="B409" s="5"/>
      <c r="C409" s="5"/>
      <c r="D409" s="9"/>
      <c r="E409" s="6"/>
      <c r="F409" s="7">
        <f t="shared" ca="1" si="0"/>
        <v>126</v>
      </c>
      <c r="G409" s="5"/>
      <c r="H409" s="5"/>
      <c r="I409" s="5"/>
      <c r="J409" s="5"/>
    </row>
    <row r="410" spans="1:10" ht="15.75" customHeight="1">
      <c r="A410" s="9"/>
      <c r="B410" s="5"/>
      <c r="C410" s="5"/>
      <c r="D410" s="9"/>
      <c r="E410" s="6"/>
      <c r="F410" s="7">
        <f t="shared" ca="1" si="0"/>
        <v>126</v>
      </c>
      <c r="G410" s="5"/>
      <c r="H410" s="5"/>
      <c r="I410" s="5"/>
      <c r="J410" s="5"/>
    </row>
    <row r="411" spans="1:10" ht="15.75" customHeight="1">
      <c r="A411" s="9"/>
      <c r="B411" s="5"/>
      <c r="C411" s="5"/>
      <c r="D411" s="9"/>
      <c r="E411" s="6"/>
      <c r="F411" s="7">
        <f t="shared" ca="1" si="0"/>
        <v>126</v>
      </c>
      <c r="G411" s="5"/>
      <c r="H411" s="5"/>
      <c r="I411" s="5"/>
      <c r="J411" s="5"/>
    </row>
    <row r="412" spans="1:10" ht="15.75" customHeight="1">
      <c r="A412" s="9"/>
      <c r="B412" s="5"/>
      <c r="C412" s="5"/>
      <c r="D412" s="9"/>
      <c r="E412" s="6"/>
      <c r="F412" s="7">
        <f t="shared" ca="1" si="0"/>
        <v>126</v>
      </c>
      <c r="G412" s="5"/>
      <c r="H412" s="5"/>
      <c r="I412" s="5"/>
      <c r="J412" s="5"/>
    </row>
    <row r="413" spans="1:10" ht="15.75" customHeight="1">
      <c r="A413" s="9"/>
      <c r="B413" s="5"/>
      <c r="C413" s="5"/>
      <c r="D413" s="9"/>
      <c r="E413" s="6"/>
      <c r="F413" s="7">
        <f t="shared" ca="1" si="0"/>
        <v>126</v>
      </c>
      <c r="G413" s="5"/>
      <c r="H413" s="5"/>
      <c r="I413" s="5"/>
      <c r="J413" s="5"/>
    </row>
    <row r="414" spans="1:10" ht="15.75" customHeight="1">
      <c r="A414" s="9"/>
      <c r="B414" s="5"/>
      <c r="C414" s="5"/>
      <c r="D414" s="9"/>
      <c r="E414" s="6"/>
      <c r="F414" s="7">
        <f t="shared" ca="1" si="0"/>
        <v>126</v>
      </c>
      <c r="G414" s="5"/>
      <c r="H414" s="5"/>
      <c r="I414" s="5"/>
      <c r="J414" s="5"/>
    </row>
    <row r="415" spans="1:10" ht="15.75" customHeight="1">
      <c r="A415" s="9"/>
      <c r="B415" s="5"/>
      <c r="C415" s="5"/>
      <c r="D415" s="9"/>
      <c r="E415" s="6"/>
      <c r="F415" s="7">
        <f t="shared" ca="1" si="0"/>
        <v>126</v>
      </c>
      <c r="G415" s="5"/>
      <c r="H415" s="5"/>
      <c r="I415" s="5"/>
      <c r="J415" s="5"/>
    </row>
    <row r="416" spans="1:10" ht="15.75" customHeight="1">
      <c r="A416" s="9"/>
      <c r="B416" s="5"/>
      <c r="C416" s="5"/>
      <c r="D416" s="9"/>
      <c r="E416" s="6"/>
      <c r="F416" s="7">
        <f t="shared" ca="1" si="0"/>
        <v>126</v>
      </c>
      <c r="G416" s="5"/>
      <c r="H416" s="5"/>
      <c r="I416" s="5"/>
      <c r="J416" s="5"/>
    </row>
    <row r="417" spans="1:10" ht="15.75" customHeight="1">
      <c r="A417" s="9"/>
      <c r="B417" s="5"/>
      <c r="C417" s="5"/>
      <c r="D417" s="9"/>
      <c r="E417" s="6"/>
      <c r="F417" s="7">
        <f t="shared" ca="1" si="0"/>
        <v>126</v>
      </c>
      <c r="G417" s="5"/>
      <c r="H417" s="5"/>
      <c r="I417" s="5"/>
      <c r="J417" s="5"/>
    </row>
    <row r="418" spans="1:10" ht="15.75" customHeight="1">
      <c r="A418" s="9"/>
      <c r="B418" s="5"/>
      <c r="C418" s="5"/>
      <c r="D418" s="9"/>
      <c r="E418" s="6"/>
      <c r="F418" s="7">
        <f t="shared" ca="1" si="0"/>
        <v>126</v>
      </c>
      <c r="G418" s="5"/>
      <c r="H418" s="5"/>
      <c r="I418" s="5"/>
      <c r="J418" s="5"/>
    </row>
    <row r="419" spans="1:10" ht="15.75" customHeight="1">
      <c r="A419" s="9"/>
      <c r="B419" s="5"/>
      <c r="C419" s="5"/>
      <c r="D419" s="9"/>
      <c r="E419" s="6"/>
      <c r="F419" s="7">
        <f t="shared" ca="1" si="0"/>
        <v>126</v>
      </c>
      <c r="G419" s="5"/>
      <c r="H419" s="5"/>
      <c r="I419" s="5"/>
      <c r="J419" s="5"/>
    </row>
    <row r="420" spans="1:10" ht="15.75" customHeight="1">
      <c r="A420" s="9"/>
      <c r="B420" s="5"/>
      <c r="C420" s="5"/>
      <c r="D420" s="9"/>
      <c r="E420" s="6"/>
      <c r="F420" s="7">
        <f t="shared" ca="1" si="0"/>
        <v>126</v>
      </c>
      <c r="G420" s="5"/>
      <c r="H420" s="5"/>
      <c r="I420" s="5"/>
      <c r="J420" s="5"/>
    </row>
    <row r="421" spans="1:10" ht="15.75" customHeight="1">
      <c r="A421" s="9"/>
      <c r="B421" s="5"/>
      <c r="C421" s="5"/>
      <c r="D421" s="9"/>
      <c r="E421" s="6"/>
      <c r="F421" s="7">
        <f t="shared" ca="1" si="0"/>
        <v>126</v>
      </c>
      <c r="G421" s="5"/>
      <c r="H421" s="5"/>
      <c r="I421" s="5"/>
      <c r="J421" s="5"/>
    </row>
    <row r="422" spans="1:10" ht="15.75" customHeight="1">
      <c r="A422" s="9"/>
      <c r="B422" s="5"/>
      <c r="C422" s="5"/>
      <c r="D422" s="9"/>
      <c r="E422" s="6"/>
      <c r="F422" s="7">
        <f t="shared" ca="1" si="0"/>
        <v>126</v>
      </c>
      <c r="G422" s="5"/>
      <c r="H422" s="5"/>
      <c r="I422" s="5"/>
      <c r="J422" s="5"/>
    </row>
    <row r="423" spans="1:10" ht="15.75" customHeight="1">
      <c r="A423" s="9"/>
      <c r="B423" s="5"/>
      <c r="C423" s="5"/>
      <c r="D423" s="9"/>
      <c r="E423" s="6"/>
      <c r="F423" s="7">
        <f t="shared" ca="1" si="0"/>
        <v>126</v>
      </c>
      <c r="G423" s="5"/>
      <c r="H423" s="5"/>
      <c r="I423" s="5"/>
      <c r="J423" s="5"/>
    </row>
    <row r="424" spans="1:10" ht="15.75" customHeight="1">
      <c r="A424" s="9"/>
      <c r="B424" s="5"/>
      <c r="C424" s="5"/>
      <c r="D424" s="9"/>
      <c r="E424" s="6"/>
      <c r="F424" s="7">
        <f t="shared" ca="1" si="0"/>
        <v>126</v>
      </c>
      <c r="G424" s="5"/>
      <c r="H424" s="5"/>
      <c r="I424" s="5"/>
      <c r="J424" s="5"/>
    </row>
    <row r="425" spans="1:10" ht="15.75" customHeight="1">
      <c r="A425" s="9"/>
      <c r="B425" s="5"/>
      <c r="C425" s="5"/>
      <c r="D425" s="9"/>
      <c r="E425" s="6"/>
      <c r="F425" s="7">
        <f t="shared" ca="1" si="0"/>
        <v>126</v>
      </c>
      <c r="G425" s="5"/>
      <c r="H425" s="5"/>
      <c r="I425" s="5"/>
      <c r="J425" s="5"/>
    </row>
    <row r="426" spans="1:10" ht="15.75" customHeight="1">
      <c r="A426" s="9"/>
      <c r="B426" s="5"/>
      <c r="C426" s="5"/>
      <c r="D426" s="9"/>
      <c r="E426" s="6"/>
      <c r="F426" s="7">
        <f t="shared" ca="1" si="0"/>
        <v>126</v>
      </c>
      <c r="G426" s="5"/>
      <c r="H426" s="5"/>
      <c r="I426" s="5"/>
      <c r="J426" s="5"/>
    </row>
    <row r="427" spans="1:10" ht="15.75" customHeight="1">
      <c r="A427" s="9"/>
      <c r="B427" s="5"/>
      <c r="C427" s="5"/>
      <c r="D427" s="9"/>
      <c r="E427" s="6"/>
      <c r="F427" s="7">
        <f t="shared" ca="1" si="0"/>
        <v>126</v>
      </c>
      <c r="G427" s="5"/>
      <c r="H427" s="5"/>
      <c r="I427" s="5"/>
      <c r="J427" s="5"/>
    </row>
    <row r="428" spans="1:10" ht="15.75" customHeight="1">
      <c r="A428" s="9"/>
      <c r="B428" s="5"/>
      <c r="C428" s="5"/>
      <c r="D428" s="9"/>
      <c r="E428" s="6"/>
      <c r="F428" s="7">
        <f t="shared" ca="1" si="0"/>
        <v>126</v>
      </c>
      <c r="G428" s="5"/>
      <c r="H428" s="5"/>
      <c r="I428" s="5"/>
      <c r="J428" s="5"/>
    </row>
    <row r="429" spans="1:10" ht="15.75" customHeight="1">
      <c r="A429" s="9"/>
      <c r="B429" s="5"/>
      <c r="C429" s="5"/>
      <c r="D429" s="9"/>
      <c r="E429" s="6"/>
      <c r="F429" s="7">
        <f t="shared" ca="1" si="0"/>
        <v>126</v>
      </c>
      <c r="G429" s="5"/>
      <c r="H429" s="5"/>
      <c r="I429" s="5"/>
      <c r="J429" s="5"/>
    </row>
    <row r="430" spans="1:10" ht="15.75" customHeight="1">
      <c r="A430" s="9"/>
      <c r="B430" s="5"/>
      <c r="C430" s="5"/>
      <c r="D430" s="9"/>
      <c r="E430" s="6"/>
      <c r="F430" s="7">
        <f t="shared" ca="1" si="0"/>
        <v>126</v>
      </c>
      <c r="G430" s="5"/>
      <c r="H430" s="5"/>
      <c r="I430" s="5"/>
      <c r="J430" s="5"/>
    </row>
    <row r="431" spans="1:10" ht="15.75" customHeight="1">
      <c r="A431" s="9"/>
      <c r="B431" s="5"/>
      <c r="C431" s="5"/>
      <c r="D431" s="9"/>
      <c r="E431" s="6"/>
      <c r="F431" s="7">
        <f t="shared" ca="1" si="0"/>
        <v>126</v>
      </c>
      <c r="G431" s="5"/>
      <c r="H431" s="5"/>
      <c r="I431" s="5"/>
      <c r="J431" s="5"/>
    </row>
    <row r="432" spans="1:10" ht="15.75" customHeight="1">
      <c r="A432" s="9"/>
      <c r="B432" s="5"/>
      <c r="C432" s="5"/>
      <c r="D432" s="9"/>
      <c r="E432" s="6"/>
      <c r="F432" s="7">
        <f t="shared" ca="1" si="0"/>
        <v>126</v>
      </c>
      <c r="G432" s="5"/>
      <c r="H432" s="5"/>
      <c r="I432" s="5"/>
      <c r="J432" s="5"/>
    </row>
    <row r="433" spans="1:10" ht="15.75" customHeight="1">
      <c r="A433" s="9"/>
      <c r="B433" s="5"/>
      <c r="C433" s="5"/>
      <c r="D433" s="9"/>
      <c r="E433" s="6"/>
      <c r="F433" s="7">
        <f t="shared" ca="1" si="0"/>
        <v>126</v>
      </c>
      <c r="G433" s="5"/>
      <c r="H433" s="5"/>
      <c r="I433" s="5"/>
      <c r="J433" s="5"/>
    </row>
    <row r="434" spans="1:10" ht="15.75" customHeight="1">
      <c r="A434" s="9"/>
      <c r="B434" s="5"/>
      <c r="C434" s="5"/>
      <c r="D434" s="9"/>
      <c r="E434" s="6"/>
      <c r="F434" s="7">
        <f t="shared" ca="1" si="0"/>
        <v>126</v>
      </c>
      <c r="G434" s="5"/>
      <c r="H434" s="5"/>
      <c r="I434" s="5"/>
      <c r="J434" s="5"/>
    </row>
    <row r="435" spans="1:10" ht="15.75" customHeight="1">
      <c r="A435" s="9"/>
      <c r="B435" s="5"/>
      <c r="C435" s="5"/>
      <c r="D435" s="9"/>
      <c r="E435" s="6"/>
      <c r="F435" s="7">
        <f t="shared" ca="1" si="0"/>
        <v>126</v>
      </c>
      <c r="G435" s="5"/>
      <c r="H435" s="5"/>
      <c r="I435" s="5"/>
      <c r="J435" s="5"/>
    </row>
    <row r="436" spans="1:10" ht="15.75" customHeight="1">
      <c r="A436" s="9"/>
      <c r="B436" s="5"/>
      <c r="C436" s="5"/>
      <c r="D436" s="9"/>
      <c r="E436" s="6"/>
      <c r="F436" s="7">
        <f t="shared" ca="1" si="0"/>
        <v>126</v>
      </c>
      <c r="G436" s="5"/>
      <c r="H436" s="5"/>
      <c r="I436" s="5"/>
      <c r="J436" s="5"/>
    </row>
    <row r="437" spans="1:10" ht="15.75" customHeight="1">
      <c r="A437" s="9"/>
      <c r="B437" s="5"/>
      <c r="C437" s="5"/>
      <c r="D437" s="9"/>
      <c r="E437" s="6"/>
      <c r="F437" s="7">
        <f t="shared" ca="1" si="0"/>
        <v>126</v>
      </c>
      <c r="G437" s="5"/>
      <c r="H437" s="5"/>
      <c r="I437" s="5"/>
      <c r="J437" s="5"/>
    </row>
    <row r="438" spans="1:10" ht="15.75" customHeight="1">
      <c r="A438" s="9"/>
      <c r="B438" s="5"/>
      <c r="C438" s="5"/>
      <c r="D438" s="9"/>
      <c r="E438" s="6"/>
      <c r="F438" s="7">
        <f t="shared" ca="1" si="0"/>
        <v>126</v>
      </c>
      <c r="G438" s="5"/>
      <c r="H438" s="5"/>
      <c r="I438" s="5"/>
      <c r="J438" s="5"/>
    </row>
    <row r="439" spans="1:10" ht="15.75" customHeight="1">
      <c r="A439" s="9"/>
      <c r="B439" s="5"/>
      <c r="C439" s="5"/>
      <c r="D439" s="9"/>
      <c r="E439" s="6"/>
      <c r="F439" s="7">
        <f t="shared" ca="1" si="0"/>
        <v>126</v>
      </c>
      <c r="G439" s="5"/>
      <c r="H439" s="5"/>
      <c r="I439" s="5"/>
      <c r="J439" s="5"/>
    </row>
    <row r="440" spans="1:10" ht="15.75" customHeight="1">
      <c r="A440" s="9"/>
      <c r="B440" s="5"/>
      <c r="C440" s="5"/>
      <c r="D440" s="9"/>
      <c r="E440" s="6"/>
      <c r="F440" s="7">
        <f t="shared" ca="1" si="0"/>
        <v>126</v>
      </c>
      <c r="G440" s="5"/>
      <c r="H440" s="5"/>
      <c r="I440" s="5"/>
      <c r="J440" s="5"/>
    </row>
    <row r="441" spans="1:10" ht="15.75" customHeight="1">
      <c r="A441" s="9"/>
      <c r="B441" s="5"/>
      <c r="C441" s="5"/>
      <c r="D441" s="9"/>
      <c r="E441" s="6"/>
      <c r="F441" s="7">
        <f t="shared" ca="1" si="0"/>
        <v>126</v>
      </c>
      <c r="G441" s="5"/>
      <c r="H441" s="5"/>
      <c r="I441" s="5"/>
      <c r="J441" s="5"/>
    </row>
    <row r="442" spans="1:10" ht="15.75" customHeight="1">
      <c r="A442" s="9"/>
      <c r="B442" s="5"/>
      <c r="C442" s="5"/>
      <c r="D442" s="9"/>
      <c r="E442" s="6"/>
      <c r="F442" s="7">
        <f t="shared" ca="1" si="0"/>
        <v>126</v>
      </c>
      <c r="G442" s="5"/>
      <c r="H442" s="5"/>
      <c r="I442" s="5"/>
      <c r="J442" s="5"/>
    </row>
    <row r="443" spans="1:10" ht="15.75" customHeight="1">
      <c r="A443" s="9"/>
      <c r="B443" s="5"/>
      <c r="C443" s="5"/>
      <c r="D443" s="9"/>
      <c r="E443" s="6"/>
      <c r="F443" s="7">
        <f t="shared" ca="1" si="0"/>
        <v>126</v>
      </c>
      <c r="G443" s="5"/>
      <c r="H443" s="5"/>
      <c r="I443" s="5"/>
      <c r="J443" s="5"/>
    </row>
    <row r="444" spans="1:10" ht="15.75" customHeight="1">
      <c r="A444" s="9"/>
      <c r="B444" s="5"/>
      <c r="C444" s="5"/>
      <c r="D444" s="9"/>
      <c r="E444" s="6"/>
      <c r="F444" s="7">
        <f t="shared" ca="1" si="0"/>
        <v>126</v>
      </c>
      <c r="G444" s="5"/>
      <c r="H444" s="5"/>
      <c r="I444" s="5"/>
      <c r="J444" s="5"/>
    </row>
    <row r="445" spans="1:10" ht="15.75" customHeight="1">
      <c r="A445" s="9"/>
      <c r="B445" s="5"/>
      <c r="C445" s="5"/>
      <c r="D445" s="9"/>
      <c r="E445" s="6"/>
      <c r="F445" s="7">
        <f t="shared" ca="1" si="0"/>
        <v>126</v>
      </c>
      <c r="G445" s="5"/>
      <c r="H445" s="5"/>
      <c r="I445" s="5"/>
      <c r="J445" s="5"/>
    </row>
    <row r="446" spans="1:10" ht="15.75" customHeight="1">
      <c r="A446" s="9"/>
      <c r="B446" s="5"/>
      <c r="C446" s="5"/>
      <c r="D446" s="9"/>
      <c r="E446" s="6"/>
      <c r="F446" s="7">
        <f t="shared" ca="1" si="0"/>
        <v>126</v>
      </c>
      <c r="G446" s="5"/>
      <c r="H446" s="5"/>
      <c r="I446" s="5"/>
      <c r="J446" s="5"/>
    </row>
    <row r="447" spans="1:10" ht="15.75" customHeight="1">
      <c r="A447" s="9"/>
      <c r="B447" s="5"/>
      <c r="C447" s="5"/>
      <c r="D447" s="9"/>
      <c r="E447" s="6"/>
      <c r="F447" s="7">
        <f t="shared" ca="1" si="0"/>
        <v>126</v>
      </c>
      <c r="G447" s="5"/>
      <c r="H447" s="5"/>
      <c r="I447" s="5"/>
      <c r="J447" s="5"/>
    </row>
    <row r="448" spans="1:10" ht="15.75" customHeight="1">
      <c r="A448" s="9"/>
      <c r="B448" s="5"/>
      <c r="C448" s="5"/>
      <c r="D448" s="9"/>
      <c r="E448" s="6"/>
      <c r="F448" s="7">
        <f t="shared" ca="1" si="0"/>
        <v>126</v>
      </c>
      <c r="G448" s="5"/>
      <c r="H448" s="5"/>
      <c r="I448" s="5"/>
      <c r="J448" s="5"/>
    </row>
    <row r="449" spans="1:10" ht="15.75" customHeight="1">
      <c r="A449" s="9"/>
      <c r="B449" s="5"/>
      <c r="C449" s="5"/>
      <c r="D449" s="9"/>
      <c r="E449" s="6"/>
      <c r="F449" s="7">
        <f t="shared" ca="1" si="0"/>
        <v>126</v>
      </c>
      <c r="G449" s="5"/>
      <c r="H449" s="5"/>
      <c r="I449" s="5"/>
      <c r="J449" s="5"/>
    </row>
    <row r="450" spans="1:10" ht="15.75" customHeight="1">
      <c r="A450" s="9"/>
      <c r="B450" s="5"/>
      <c r="C450" s="5"/>
      <c r="D450" s="9"/>
      <c r="E450" s="6"/>
      <c r="F450" s="7">
        <f t="shared" ca="1" si="0"/>
        <v>126</v>
      </c>
      <c r="G450" s="5"/>
      <c r="H450" s="5"/>
      <c r="I450" s="5"/>
      <c r="J450" s="5"/>
    </row>
    <row r="451" spans="1:10" ht="15.75" customHeight="1">
      <c r="A451" s="9"/>
      <c r="B451" s="5"/>
      <c r="C451" s="5"/>
      <c r="D451" s="9"/>
      <c r="E451" s="6"/>
      <c r="F451" s="7">
        <f t="shared" ca="1" si="0"/>
        <v>126</v>
      </c>
      <c r="G451" s="5"/>
      <c r="H451" s="5"/>
      <c r="I451" s="5"/>
      <c r="J451" s="5"/>
    </row>
    <row r="452" spans="1:10" ht="15.75" customHeight="1">
      <c r="A452" s="9"/>
      <c r="B452" s="5"/>
      <c r="C452" s="5"/>
      <c r="D452" s="9"/>
      <c r="E452" s="6"/>
      <c r="F452" s="7">
        <f t="shared" ca="1" si="0"/>
        <v>126</v>
      </c>
      <c r="G452" s="5"/>
      <c r="H452" s="5"/>
      <c r="I452" s="5"/>
      <c r="J452" s="5"/>
    </row>
    <row r="453" spans="1:10" ht="15.75" customHeight="1">
      <c r="A453" s="9"/>
      <c r="B453" s="5"/>
      <c r="C453" s="5"/>
      <c r="D453" s="9"/>
      <c r="E453" s="6"/>
      <c r="F453" s="7">
        <f t="shared" ca="1" si="0"/>
        <v>126</v>
      </c>
      <c r="G453" s="5"/>
      <c r="H453" s="5"/>
      <c r="I453" s="5"/>
      <c r="J453" s="5"/>
    </row>
    <row r="454" spans="1:10" ht="15.75" customHeight="1">
      <c r="A454" s="9"/>
      <c r="B454" s="5"/>
      <c r="C454" s="5"/>
      <c r="D454" s="9"/>
      <c r="E454" s="6"/>
      <c r="F454" s="7">
        <f t="shared" ca="1" si="0"/>
        <v>126</v>
      </c>
      <c r="G454" s="5"/>
      <c r="H454" s="5"/>
      <c r="I454" s="5"/>
      <c r="J454" s="5"/>
    </row>
    <row r="455" spans="1:10" ht="15.75" customHeight="1">
      <c r="A455" s="9"/>
      <c r="B455" s="5"/>
      <c r="C455" s="5"/>
      <c r="D455" s="9"/>
      <c r="E455" s="6"/>
      <c r="F455" s="7">
        <f t="shared" ca="1" si="0"/>
        <v>126</v>
      </c>
      <c r="G455" s="5"/>
      <c r="H455" s="5"/>
      <c r="I455" s="5"/>
      <c r="J455" s="5"/>
    </row>
    <row r="456" spans="1:10" ht="15.75" customHeight="1">
      <c r="A456" s="9"/>
      <c r="B456" s="5"/>
      <c r="C456" s="5"/>
      <c r="D456" s="9"/>
      <c r="E456" s="6"/>
      <c r="F456" s="7">
        <f t="shared" ca="1" si="0"/>
        <v>126</v>
      </c>
      <c r="G456" s="5"/>
      <c r="H456" s="5"/>
      <c r="I456" s="5"/>
      <c r="J456" s="5"/>
    </row>
    <row r="457" spans="1:10" ht="15.75" customHeight="1">
      <c r="A457" s="9"/>
      <c r="B457" s="5"/>
      <c r="C457" s="5"/>
      <c r="D457" s="9"/>
      <c r="E457" s="6"/>
      <c r="F457" s="7">
        <f t="shared" ca="1" si="0"/>
        <v>126</v>
      </c>
      <c r="G457" s="5"/>
      <c r="H457" s="5"/>
      <c r="I457" s="5"/>
      <c r="J457" s="5"/>
    </row>
    <row r="458" spans="1:10" ht="15.75" customHeight="1">
      <c r="A458" s="9"/>
      <c r="B458" s="5"/>
      <c r="C458" s="5"/>
      <c r="D458" s="9"/>
      <c r="E458" s="6"/>
      <c r="F458" s="7">
        <f t="shared" ca="1" si="0"/>
        <v>126</v>
      </c>
      <c r="G458" s="5"/>
      <c r="H458" s="5"/>
      <c r="I458" s="5"/>
      <c r="J458" s="5"/>
    </row>
    <row r="459" spans="1:10" ht="15.75" customHeight="1">
      <c r="A459" s="9"/>
      <c r="B459" s="5"/>
      <c r="C459" s="5"/>
      <c r="D459" s="9"/>
      <c r="E459" s="6"/>
      <c r="F459" s="7">
        <f t="shared" ca="1" si="0"/>
        <v>126</v>
      </c>
      <c r="G459" s="5"/>
      <c r="H459" s="5"/>
      <c r="I459" s="5"/>
      <c r="J459" s="5"/>
    </row>
    <row r="460" spans="1:10" ht="15.75" customHeight="1">
      <c r="A460" s="9"/>
      <c r="B460" s="5"/>
      <c r="C460" s="5"/>
      <c r="D460" s="9"/>
      <c r="E460" s="6"/>
      <c r="F460" s="7">
        <f t="shared" ca="1" si="0"/>
        <v>126</v>
      </c>
      <c r="G460" s="5"/>
      <c r="H460" s="5"/>
      <c r="I460" s="5"/>
      <c r="J460" s="5"/>
    </row>
    <row r="461" spans="1:10" ht="15.75" customHeight="1">
      <c r="A461" s="9"/>
      <c r="B461" s="5"/>
      <c r="C461" s="5"/>
      <c r="D461" s="9"/>
      <c r="E461" s="6"/>
      <c r="F461" s="7">
        <f t="shared" ca="1" si="0"/>
        <v>126</v>
      </c>
      <c r="G461" s="5"/>
      <c r="H461" s="5"/>
      <c r="I461" s="5"/>
      <c r="J461" s="5"/>
    </row>
    <row r="462" spans="1:10" ht="15.75" customHeight="1">
      <c r="A462" s="9"/>
      <c r="B462" s="5"/>
      <c r="C462" s="5"/>
      <c r="D462" s="9"/>
      <c r="E462" s="6"/>
      <c r="F462" s="7">
        <f t="shared" ca="1" si="0"/>
        <v>126</v>
      </c>
      <c r="G462" s="5"/>
      <c r="H462" s="5"/>
      <c r="I462" s="5"/>
      <c r="J462" s="5"/>
    </row>
    <row r="463" spans="1:10" ht="15.75" customHeight="1">
      <c r="A463" s="9"/>
      <c r="B463" s="5"/>
      <c r="C463" s="5"/>
      <c r="D463" s="9"/>
      <c r="E463" s="6"/>
      <c r="F463" s="7">
        <f t="shared" ca="1" si="0"/>
        <v>126</v>
      </c>
      <c r="G463" s="5"/>
      <c r="H463" s="5"/>
      <c r="I463" s="5"/>
      <c r="J463" s="5"/>
    </row>
    <row r="464" spans="1:10" ht="15.75" customHeight="1">
      <c r="A464" s="9"/>
      <c r="B464" s="5"/>
      <c r="C464" s="5"/>
      <c r="D464" s="9"/>
      <c r="E464" s="6"/>
      <c r="F464" s="7">
        <f t="shared" ca="1" si="0"/>
        <v>126</v>
      </c>
      <c r="G464" s="5"/>
      <c r="H464" s="5"/>
      <c r="I464" s="5"/>
      <c r="J464" s="5"/>
    </row>
    <row r="465" spans="1:10" ht="15.75" customHeight="1">
      <c r="A465" s="9"/>
      <c r="B465" s="5"/>
      <c r="C465" s="5"/>
      <c r="D465" s="9"/>
      <c r="E465" s="6"/>
      <c r="F465" s="7">
        <f t="shared" ca="1" si="0"/>
        <v>126</v>
      </c>
      <c r="G465" s="5"/>
      <c r="H465" s="5"/>
      <c r="I465" s="5"/>
      <c r="J465" s="5"/>
    </row>
    <row r="466" spans="1:10" ht="15.75" customHeight="1">
      <c r="A466" s="9"/>
      <c r="B466" s="5"/>
      <c r="C466" s="5"/>
      <c r="D466" s="9"/>
      <c r="E466" s="6"/>
      <c r="F466" s="7">
        <f t="shared" ca="1" si="0"/>
        <v>126</v>
      </c>
      <c r="G466" s="5"/>
      <c r="H466" s="5"/>
      <c r="I466" s="5"/>
      <c r="J466" s="5"/>
    </row>
    <row r="467" spans="1:10" ht="15.75" customHeight="1">
      <c r="A467" s="9"/>
      <c r="B467" s="5"/>
      <c r="C467" s="5"/>
      <c r="D467" s="9"/>
      <c r="E467" s="6"/>
      <c r="F467" s="7">
        <f t="shared" ca="1" si="0"/>
        <v>126</v>
      </c>
      <c r="G467" s="5"/>
      <c r="H467" s="5"/>
      <c r="I467" s="5"/>
      <c r="J467" s="5"/>
    </row>
    <row r="468" spans="1:10" ht="15.75" customHeight="1">
      <c r="A468" s="9"/>
      <c r="B468" s="5"/>
      <c r="C468" s="5"/>
      <c r="D468" s="9"/>
      <c r="E468" s="6"/>
      <c r="F468" s="7">
        <f t="shared" ca="1" si="0"/>
        <v>126</v>
      </c>
      <c r="G468" s="5"/>
      <c r="H468" s="5"/>
      <c r="I468" s="5"/>
      <c r="J468" s="5"/>
    </row>
    <row r="469" spans="1:10" ht="15.75" customHeight="1">
      <c r="A469" s="9"/>
      <c r="B469" s="5"/>
      <c r="C469" s="5"/>
      <c r="D469" s="9"/>
      <c r="E469" s="6"/>
      <c r="F469" s="7">
        <f t="shared" ca="1" si="0"/>
        <v>126</v>
      </c>
      <c r="G469" s="5"/>
      <c r="H469" s="5"/>
      <c r="I469" s="5"/>
      <c r="J469" s="5"/>
    </row>
    <row r="470" spans="1:10" ht="15.75" customHeight="1">
      <c r="A470" s="9"/>
      <c r="B470" s="5"/>
      <c r="C470" s="5"/>
      <c r="D470" s="9"/>
      <c r="E470" s="6"/>
      <c r="F470" s="7">
        <f t="shared" ca="1" si="0"/>
        <v>126</v>
      </c>
      <c r="G470" s="5"/>
      <c r="H470" s="5"/>
      <c r="I470" s="5"/>
      <c r="J470" s="5"/>
    </row>
    <row r="471" spans="1:10" ht="15.75" customHeight="1">
      <c r="A471" s="9"/>
      <c r="B471" s="5"/>
      <c r="C471" s="5"/>
      <c r="D471" s="9"/>
      <c r="E471" s="6"/>
      <c r="F471" s="7">
        <f t="shared" ca="1" si="0"/>
        <v>126</v>
      </c>
      <c r="G471" s="5"/>
      <c r="H471" s="5"/>
      <c r="I471" s="5"/>
      <c r="J471" s="5"/>
    </row>
    <row r="472" spans="1:10" ht="15.75" customHeight="1">
      <c r="A472" s="9"/>
      <c r="B472" s="5"/>
      <c r="C472" s="5"/>
      <c r="D472" s="9"/>
      <c r="E472" s="6"/>
      <c r="F472" s="7">
        <f t="shared" ca="1" si="0"/>
        <v>126</v>
      </c>
      <c r="G472" s="5"/>
      <c r="H472" s="5"/>
      <c r="I472" s="5"/>
      <c r="J472" s="5"/>
    </row>
    <row r="473" spans="1:10" ht="15.75" customHeight="1">
      <c r="A473" s="9"/>
      <c r="B473" s="5"/>
      <c r="C473" s="5"/>
      <c r="D473" s="9"/>
      <c r="E473" s="6"/>
      <c r="F473" s="7">
        <f t="shared" ca="1" si="0"/>
        <v>126</v>
      </c>
      <c r="G473" s="5"/>
      <c r="H473" s="5"/>
      <c r="I473" s="5"/>
      <c r="J473" s="5"/>
    </row>
    <row r="474" spans="1:10" ht="15.75" customHeight="1">
      <c r="A474" s="9"/>
      <c r="B474" s="5"/>
      <c r="C474" s="5"/>
      <c r="D474" s="9"/>
      <c r="E474" s="6"/>
      <c r="F474" s="7">
        <f t="shared" ca="1" si="0"/>
        <v>126</v>
      </c>
      <c r="G474" s="5"/>
      <c r="H474" s="5"/>
      <c r="I474" s="5"/>
      <c r="J474" s="5"/>
    </row>
    <row r="475" spans="1:10" ht="15.75" customHeight="1">
      <c r="A475" s="9"/>
      <c r="B475" s="5"/>
      <c r="C475" s="5"/>
      <c r="D475" s="9"/>
      <c r="E475" s="6"/>
      <c r="F475" s="7">
        <f t="shared" ca="1" si="0"/>
        <v>126</v>
      </c>
      <c r="G475" s="5"/>
      <c r="H475" s="5"/>
      <c r="I475" s="5"/>
      <c r="J475" s="5"/>
    </row>
    <row r="476" spans="1:10" ht="15.75" customHeight="1">
      <c r="A476" s="9"/>
      <c r="B476" s="5"/>
      <c r="C476" s="5"/>
      <c r="D476" s="9"/>
      <c r="E476" s="6"/>
      <c r="F476" s="7">
        <f t="shared" ca="1" si="0"/>
        <v>126</v>
      </c>
      <c r="G476" s="5"/>
      <c r="H476" s="5"/>
      <c r="I476" s="5"/>
      <c r="J476" s="5"/>
    </row>
    <row r="477" spans="1:10" ht="15.75" customHeight="1">
      <c r="A477" s="9"/>
      <c r="B477" s="5"/>
      <c r="C477" s="5"/>
      <c r="D477" s="9"/>
      <c r="E477" s="6"/>
      <c r="F477" s="7">
        <f t="shared" ca="1" si="0"/>
        <v>126</v>
      </c>
      <c r="G477" s="5"/>
      <c r="H477" s="5"/>
      <c r="I477" s="5"/>
      <c r="J477" s="5"/>
    </row>
    <row r="478" spans="1:10" ht="15.75" customHeight="1">
      <c r="A478" s="9"/>
      <c r="B478" s="5"/>
      <c r="C478" s="5"/>
      <c r="D478" s="9"/>
      <c r="E478" s="6"/>
      <c r="F478" s="7">
        <f t="shared" ca="1" si="0"/>
        <v>126</v>
      </c>
      <c r="G478" s="5"/>
      <c r="H478" s="5"/>
      <c r="I478" s="5"/>
      <c r="J478" s="5"/>
    </row>
    <row r="479" spans="1:10" ht="15.75" customHeight="1">
      <c r="A479" s="9"/>
      <c r="B479" s="5"/>
      <c r="C479" s="5"/>
      <c r="D479" s="9"/>
      <c r="E479" s="6"/>
      <c r="F479" s="7">
        <f t="shared" ca="1" si="0"/>
        <v>126</v>
      </c>
      <c r="G479" s="5"/>
      <c r="H479" s="5"/>
      <c r="I479" s="5"/>
      <c r="J479" s="5"/>
    </row>
    <row r="480" spans="1:10" ht="15.75" customHeight="1">
      <c r="A480" s="9"/>
      <c r="B480" s="5"/>
      <c r="C480" s="5"/>
      <c r="D480" s="9"/>
      <c r="E480" s="6"/>
      <c r="F480" s="7">
        <f t="shared" ca="1" si="0"/>
        <v>126</v>
      </c>
      <c r="G480" s="5"/>
      <c r="H480" s="5"/>
      <c r="I480" s="5"/>
      <c r="J480" s="5"/>
    </row>
    <row r="481" spans="1:10" ht="15.75" customHeight="1">
      <c r="A481" s="9"/>
      <c r="B481" s="5"/>
      <c r="C481" s="5"/>
      <c r="D481" s="9"/>
      <c r="E481" s="6"/>
      <c r="F481" s="7">
        <f t="shared" ca="1" si="0"/>
        <v>126</v>
      </c>
      <c r="G481" s="5"/>
      <c r="H481" s="5"/>
      <c r="I481" s="5"/>
      <c r="J481" s="5"/>
    </row>
    <row r="482" spans="1:10" ht="15.75" customHeight="1">
      <c r="A482" s="9"/>
      <c r="B482" s="5"/>
      <c r="C482" s="5"/>
      <c r="D482" s="9"/>
      <c r="E482" s="6"/>
      <c r="F482" s="7">
        <f t="shared" ca="1" si="0"/>
        <v>126</v>
      </c>
      <c r="G482" s="5"/>
      <c r="H482" s="5"/>
      <c r="I482" s="5"/>
      <c r="J482" s="5"/>
    </row>
    <row r="483" spans="1:10" ht="15.75" customHeight="1">
      <c r="A483" s="9"/>
      <c r="B483" s="5"/>
      <c r="C483" s="5"/>
      <c r="D483" s="9"/>
      <c r="E483" s="6"/>
      <c r="F483" s="7">
        <f t="shared" ca="1" si="0"/>
        <v>126</v>
      </c>
      <c r="G483" s="5"/>
      <c r="H483" s="5"/>
      <c r="I483" s="5"/>
      <c r="J483" s="5"/>
    </row>
    <row r="484" spans="1:10" ht="15.75" customHeight="1">
      <c r="A484" s="9"/>
      <c r="B484" s="5"/>
      <c r="C484" s="5"/>
      <c r="D484" s="9"/>
      <c r="E484" s="6"/>
      <c r="F484" s="7">
        <f t="shared" ca="1" si="0"/>
        <v>126</v>
      </c>
      <c r="G484" s="5"/>
      <c r="H484" s="5"/>
      <c r="I484" s="5"/>
      <c r="J484" s="5"/>
    </row>
    <row r="485" spans="1:10" ht="15.75" customHeight="1">
      <c r="A485" s="9"/>
      <c r="B485" s="5"/>
      <c r="C485" s="5"/>
      <c r="D485" s="9"/>
      <c r="E485" s="6"/>
      <c r="F485" s="7">
        <f t="shared" ca="1" si="0"/>
        <v>126</v>
      </c>
      <c r="G485" s="5"/>
      <c r="H485" s="5"/>
      <c r="I485" s="5"/>
      <c r="J485" s="5"/>
    </row>
    <row r="486" spans="1:10" ht="15.75" customHeight="1">
      <c r="A486" s="9"/>
      <c r="B486" s="5"/>
      <c r="C486" s="5"/>
      <c r="D486" s="9"/>
      <c r="E486" s="6"/>
      <c r="F486" s="7">
        <f t="shared" ca="1" si="0"/>
        <v>126</v>
      </c>
      <c r="G486" s="5"/>
      <c r="H486" s="5"/>
      <c r="I486" s="5"/>
      <c r="J486" s="5"/>
    </row>
    <row r="487" spans="1:10" ht="15.75" customHeight="1">
      <c r="A487" s="9"/>
      <c r="B487" s="5"/>
      <c r="C487" s="5"/>
      <c r="D487" s="9"/>
      <c r="E487" s="6"/>
      <c r="F487" s="7">
        <f t="shared" ca="1" si="0"/>
        <v>126</v>
      </c>
      <c r="G487" s="5"/>
      <c r="H487" s="5"/>
      <c r="I487" s="5"/>
      <c r="J487" s="5"/>
    </row>
    <row r="488" spans="1:10" ht="15.75" customHeight="1">
      <c r="A488" s="9"/>
      <c r="B488" s="5"/>
      <c r="C488" s="5"/>
      <c r="D488" s="9"/>
      <c r="E488" s="6"/>
      <c r="F488" s="7">
        <f t="shared" ca="1" si="0"/>
        <v>126</v>
      </c>
      <c r="G488" s="5"/>
      <c r="H488" s="5"/>
      <c r="I488" s="5"/>
      <c r="J488" s="5"/>
    </row>
    <row r="489" spans="1:10" ht="15.75" customHeight="1">
      <c r="A489" s="9"/>
      <c r="B489" s="5"/>
      <c r="C489" s="5"/>
      <c r="D489" s="9"/>
      <c r="E489" s="6"/>
      <c r="F489" s="7">
        <f t="shared" ca="1" si="0"/>
        <v>126</v>
      </c>
      <c r="G489" s="5"/>
      <c r="H489" s="5"/>
      <c r="I489" s="5"/>
      <c r="J489" s="5"/>
    </row>
    <row r="490" spans="1:10" ht="15.75" customHeight="1">
      <c r="A490" s="9"/>
      <c r="B490" s="5"/>
      <c r="C490" s="5"/>
      <c r="D490" s="9"/>
      <c r="E490" s="6"/>
      <c r="F490" s="7">
        <f t="shared" ca="1" si="0"/>
        <v>126</v>
      </c>
      <c r="G490" s="5"/>
      <c r="H490" s="5"/>
      <c r="I490" s="5"/>
      <c r="J490" s="5"/>
    </row>
    <row r="491" spans="1:10" ht="15.75" customHeight="1">
      <c r="A491" s="9"/>
      <c r="B491" s="5"/>
      <c r="C491" s="5"/>
      <c r="D491" s="9"/>
      <c r="E491" s="6"/>
      <c r="F491" s="7">
        <f t="shared" ca="1" si="0"/>
        <v>126</v>
      </c>
      <c r="G491" s="5"/>
      <c r="H491" s="5"/>
      <c r="I491" s="5"/>
      <c r="J491" s="5"/>
    </row>
    <row r="492" spans="1:10" ht="15.75" customHeight="1">
      <c r="A492" s="9"/>
      <c r="B492" s="5"/>
      <c r="C492" s="5"/>
      <c r="D492" s="9"/>
      <c r="E492" s="6"/>
      <c r="F492" s="7">
        <f t="shared" ca="1" si="0"/>
        <v>126</v>
      </c>
      <c r="G492" s="5"/>
      <c r="H492" s="5"/>
      <c r="I492" s="5"/>
      <c r="J492" s="5"/>
    </row>
    <row r="493" spans="1:10" ht="15.75" customHeight="1">
      <c r="A493" s="9"/>
      <c r="B493" s="5"/>
      <c r="C493" s="5"/>
      <c r="D493" s="9"/>
      <c r="E493" s="6"/>
      <c r="F493" s="7">
        <f t="shared" ca="1" si="0"/>
        <v>126</v>
      </c>
      <c r="G493" s="5"/>
      <c r="H493" s="5"/>
      <c r="I493" s="5"/>
      <c r="J493" s="5"/>
    </row>
    <row r="494" spans="1:10" ht="15.75" customHeight="1">
      <c r="A494" s="9"/>
      <c r="B494" s="5"/>
      <c r="C494" s="5"/>
      <c r="D494" s="9"/>
      <c r="E494" s="6"/>
      <c r="F494" s="7">
        <f t="shared" ca="1" si="0"/>
        <v>126</v>
      </c>
      <c r="G494" s="5"/>
      <c r="H494" s="5"/>
      <c r="I494" s="5"/>
      <c r="J494" s="5"/>
    </row>
    <row r="495" spans="1:10" ht="15.75" customHeight="1">
      <c r="A495" s="9"/>
      <c r="B495" s="5"/>
      <c r="C495" s="5"/>
      <c r="D495" s="9"/>
      <c r="E495" s="6"/>
      <c r="F495" s="7">
        <f t="shared" ca="1" si="0"/>
        <v>126</v>
      </c>
      <c r="G495" s="5"/>
      <c r="H495" s="5"/>
      <c r="I495" s="5"/>
      <c r="J495" s="5"/>
    </row>
    <row r="496" spans="1:10" ht="15.75" customHeight="1">
      <c r="A496" s="9"/>
      <c r="B496" s="5"/>
      <c r="C496" s="5"/>
      <c r="D496" s="9"/>
      <c r="E496" s="6"/>
      <c r="F496" s="7">
        <f t="shared" ca="1" si="0"/>
        <v>126</v>
      </c>
      <c r="G496" s="5"/>
      <c r="H496" s="5"/>
      <c r="I496" s="5"/>
      <c r="J496" s="5"/>
    </row>
    <row r="497" spans="1:10" ht="15.75" customHeight="1">
      <c r="A497" s="9"/>
      <c r="B497" s="5"/>
      <c r="C497" s="5"/>
      <c r="D497" s="9"/>
      <c r="E497" s="6"/>
      <c r="F497" s="7">
        <f t="shared" ca="1" si="0"/>
        <v>126</v>
      </c>
      <c r="G497" s="5"/>
      <c r="H497" s="5"/>
      <c r="I497" s="5"/>
      <c r="J497" s="5"/>
    </row>
    <row r="498" spans="1:10" ht="15.75" customHeight="1">
      <c r="A498" s="9"/>
      <c r="B498" s="5"/>
      <c r="C498" s="5"/>
      <c r="D498" s="9"/>
      <c r="E498" s="6"/>
      <c r="F498" s="7">
        <f t="shared" ca="1" si="0"/>
        <v>126</v>
      </c>
      <c r="G498" s="5"/>
      <c r="H498" s="5"/>
      <c r="I498" s="5"/>
      <c r="J498" s="5"/>
    </row>
    <row r="499" spans="1:10" ht="15.75" customHeight="1">
      <c r="A499" s="9"/>
      <c r="B499" s="5"/>
      <c r="C499" s="5"/>
      <c r="D499" s="9"/>
      <c r="E499" s="6"/>
      <c r="F499" s="7">
        <f t="shared" ca="1" si="0"/>
        <v>126</v>
      </c>
      <c r="G499" s="5"/>
      <c r="H499" s="5"/>
      <c r="I499" s="5"/>
      <c r="J499" s="5"/>
    </row>
    <row r="500" spans="1:10" ht="15.75" customHeight="1">
      <c r="A500" s="9"/>
      <c r="B500" s="5"/>
      <c r="C500" s="5"/>
      <c r="D500" s="9"/>
      <c r="E500" s="6"/>
      <c r="F500" s="7">
        <f t="shared" ca="1" si="0"/>
        <v>126</v>
      </c>
      <c r="G500" s="5"/>
      <c r="H500" s="5"/>
      <c r="I500" s="5"/>
      <c r="J500" s="5"/>
    </row>
    <row r="501" spans="1:10" ht="15.75" customHeight="1">
      <c r="A501" s="9"/>
      <c r="B501" s="5"/>
      <c r="C501" s="5"/>
      <c r="D501" s="9"/>
      <c r="E501" s="6"/>
      <c r="F501" s="7">
        <f t="shared" ca="1" si="0"/>
        <v>126</v>
      </c>
      <c r="G501" s="5"/>
      <c r="H501" s="5"/>
      <c r="I501" s="5"/>
      <c r="J501" s="5"/>
    </row>
    <row r="502" spans="1:10" ht="15.75" customHeight="1">
      <c r="A502" s="9"/>
      <c r="B502" s="5"/>
      <c r="C502" s="5"/>
      <c r="D502" s="9"/>
      <c r="E502" s="6"/>
      <c r="F502" s="7">
        <f t="shared" ca="1" si="0"/>
        <v>126</v>
      </c>
      <c r="G502" s="5"/>
      <c r="H502" s="5"/>
      <c r="I502" s="5"/>
      <c r="J502" s="5"/>
    </row>
    <row r="503" spans="1:10" ht="15.75" customHeight="1">
      <c r="A503" s="9"/>
      <c r="B503" s="5"/>
      <c r="C503" s="5"/>
      <c r="D503" s="9"/>
      <c r="E503" s="6"/>
      <c r="F503" s="7">
        <f t="shared" ca="1" si="0"/>
        <v>126</v>
      </c>
      <c r="G503" s="5"/>
      <c r="H503" s="5"/>
      <c r="I503" s="5"/>
      <c r="J503" s="5"/>
    </row>
    <row r="504" spans="1:10" ht="15.75" customHeight="1">
      <c r="A504" s="9"/>
      <c r="B504" s="5"/>
      <c r="C504" s="5"/>
      <c r="D504" s="9"/>
      <c r="E504" s="6"/>
      <c r="F504" s="7">
        <f t="shared" ca="1" si="0"/>
        <v>126</v>
      </c>
      <c r="G504" s="5"/>
      <c r="H504" s="5"/>
      <c r="I504" s="5"/>
      <c r="J504" s="5"/>
    </row>
    <row r="505" spans="1:10" ht="15.75" customHeight="1">
      <c r="A505" s="9"/>
      <c r="B505" s="5"/>
      <c r="C505" s="5"/>
      <c r="D505" s="9"/>
      <c r="E505" s="6"/>
      <c r="F505" s="7">
        <f t="shared" ca="1" si="0"/>
        <v>126</v>
      </c>
      <c r="G505" s="5"/>
      <c r="H505" s="5"/>
      <c r="I505" s="5"/>
      <c r="J505" s="5"/>
    </row>
    <row r="506" spans="1:10" ht="15.75" customHeight="1"/>
    <row r="507" spans="1:10" ht="15.75" customHeight="1"/>
    <row r="508" spans="1:10" ht="15.75" customHeight="1"/>
    <row r="509" spans="1:10" ht="15.75" customHeight="1"/>
    <row r="510" spans="1:10" ht="15.75" customHeight="1"/>
    <row r="511" spans="1:10" ht="15.75" customHeight="1"/>
    <row r="512" spans="1:10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3:J505"/>
  <pageMargins left="0.75" right="0.75" top="1" bottom="1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0"/>
  <sheetViews>
    <sheetView workbookViewId="0"/>
  </sheetViews>
  <sheetFormatPr baseColWidth="10" defaultColWidth="14.42578125" defaultRowHeight="15" customHeight="1"/>
  <cols>
    <col min="1" max="26" width="9.140625" customWidth="1"/>
  </cols>
  <sheetData>
    <row r="1" spans="1:3">
      <c r="A1" s="10" t="s">
        <v>1263</v>
      </c>
      <c r="B1" s="10" t="s">
        <v>1264</v>
      </c>
      <c r="C1" s="10" t="s">
        <v>1265</v>
      </c>
    </row>
    <row r="2" spans="1:3">
      <c r="A2" s="10" t="s">
        <v>1266</v>
      </c>
      <c r="B2" s="10" t="s">
        <v>1267</v>
      </c>
      <c r="C2" s="10" t="s">
        <v>1268</v>
      </c>
    </row>
    <row r="3" spans="1:3">
      <c r="A3" s="10" t="s">
        <v>1269</v>
      </c>
      <c r="B3" s="10" t="s">
        <v>1270</v>
      </c>
      <c r="C3" s="10" t="s">
        <v>1271</v>
      </c>
    </row>
    <row r="4" spans="1:3">
      <c r="A4" s="10" t="s">
        <v>1272</v>
      </c>
      <c r="C4" s="10" t="s">
        <v>1273</v>
      </c>
    </row>
    <row r="5" spans="1:3">
      <c r="A5" s="10" t="s">
        <v>1274</v>
      </c>
      <c r="C5" s="10" t="s">
        <v>1275</v>
      </c>
    </row>
    <row r="6" spans="1:3">
      <c r="A6" s="10" t="s">
        <v>1276</v>
      </c>
      <c r="C6" s="10" t="s">
        <v>1277</v>
      </c>
    </row>
    <row r="7" spans="1:3">
      <c r="A7" s="10" t="s">
        <v>1278</v>
      </c>
      <c r="C7" s="10" t="s">
        <v>1279</v>
      </c>
    </row>
    <row r="8" spans="1:3">
      <c r="A8" s="10" t="s">
        <v>1280</v>
      </c>
      <c r="C8" s="10" t="s">
        <v>1281</v>
      </c>
    </row>
    <row r="9" spans="1:3">
      <c r="A9" s="10" t="s">
        <v>1282</v>
      </c>
      <c r="C9" s="10" t="s">
        <v>1282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5" right="0.75" top="1" bottom="1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1000"/>
  <sheetViews>
    <sheetView showGridLines="0" topLeftCell="A6" workbookViewId="0">
      <selection activeCell="C22" sqref="C22"/>
    </sheetView>
  </sheetViews>
  <sheetFormatPr baseColWidth="10" defaultColWidth="14.42578125" defaultRowHeight="15" customHeight="1"/>
  <cols>
    <col min="1" max="1" width="30" customWidth="1"/>
    <col min="2" max="4" width="22" customWidth="1"/>
    <col min="5" max="5" width="9.140625" customWidth="1"/>
    <col min="6" max="8" width="16" customWidth="1"/>
    <col min="9" max="26" width="9.140625" customWidth="1"/>
  </cols>
  <sheetData>
    <row r="1" spans="1:8" ht="19.5">
      <c r="A1" s="11" t="s">
        <v>1283</v>
      </c>
    </row>
    <row r="2" spans="1:8">
      <c r="A2" s="12" t="s">
        <v>1284</v>
      </c>
      <c r="F2" s="24" t="s">
        <v>1285</v>
      </c>
      <c r="G2" s="25"/>
      <c r="H2" s="26"/>
    </row>
    <row r="3" spans="1:8">
      <c r="F3" s="27"/>
      <c r="G3" s="28"/>
      <c r="H3" s="29"/>
    </row>
    <row r="4" spans="1:8">
      <c r="A4" s="13" t="s">
        <v>1286</v>
      </c>
      <c r="B4" s="14">
        <v>46101</v>
      </c>
      <c r="C4" s="15"/>
      <c r="D4" s="15"/>
      <c r="F4" s="30"/>
      <c r="G4" s="31"/>
      <c r="H4" s="32"/>
    </row>
    <row r="5" spans="1:8">
      <c r="A5" s="13" t="s">
        <v>1287</v>
      </c>
      <c r="B5" s="16">
        <v>0.70751157407407417</v>
      </c>
      <c r="C5" s="15"/>
      <c r="D5" s="15"/>
      <c r="F5" s="12" t="s">
        <v>1288</v>
      </c>
    </row>
    <row r="6" spans="1:8">
      <c r="A6" s="13" t="s">
        <v>10</v>
      </c>
      <c r="B6" s="9" t="s">
        <v>107</v>
      </c>
      <c r="C6" s="15"/>
      <c r="D6" s="15"/>
    </row>
    <row r="7" spans="1:8">
      <c r="A7" s="13" t="s">
        <v>8</v>
      </c>
      <c r="B7" s="7" t="str">
        <f t="array" ref="B7">IFERROR(INDEX(Base_Estudiantes!$A$4:$A$505,MATCH(B6,Base_Estudiantes!$C$4:$C$505,0)),"")</f>
        <v>PRE18</v>
      </c>
      <c r="C7" s="15"/>
      <c r="D7" s="15"/>
    </row>
    <row r="8" spans="1:8">
      <c r="A8" s="13" t="s">
        <v>1289</v>
      </c>
      <c r="B8" s="7" t="str">
        <f t="array" ref="B8">IFERROR(INDEX(Base_Estudiantes!$B$4:$B$505,MATCH(B6,Base_Estudiantes!$C$4:$C$505,0)),"")</f>
        <v>Mia Toboada Cario</v>
      </c>
      <c r="C8" s="15"/>
      <c r="D8" s="15"/>
    </row>
    <row r="9" spans="1:8">
      <c r="A9" s="13" t="s">
        <v>11</v>
      </c>
      <c r="B9" s="7" t="str">
        <f t="array" ref="B9">IFERROR(INDEX(Base_Estudiantes!$D$4:$D$505,MATCH(B6,Base_Estudiantes!$C$4:$C$505,0)),"")</f>
        <v>Pre-Kinder</v>
      </c>
      <c r="C9" s="15"/>
      <c r="D9" s="15"/>
    </row>
    <row r="10" spans="1:8">
      <c r="A10" s="13" t="s">
        <v>13</v>
      </c>
      <c r="B10" s="17">
        <f t="array" aca="1" ref="B10" ca="1">IFERROR(INDEX(Base_Estudiantes!$F$4:$F$505,MATCH(B6,Base_Estudiantes!$C$4:$C$505,0)),"")</f>
        <v>4</v>
      </c>
      <c r="C10" s="15"/>
      <c r="D10" s="15"/>
    </row>
    <row r="11" spans="1:8">
      <c r="A11" s="13" t="s">
        <v>14</v>
      </c>
      <c r="B11" s="7" t="str">
        <f t="array" ref="B11">IFERROR(INDEX(Base_Estudiantes!$G$4:$G$505,MATCH(B6,Base_Estudiantes!$C$4:$C$505,0)),"")</f>
        <v>Milagros Cario</v>
      </c>
      <c r="C11" s="15"/>
      <c r="D11" s="15"/>
    </row>
    <row r="12" spans="1:8">
      <c r="A12" s="13" t="s">
        <v>15</v>
      </c>
      <c r="B12" s="17">
        <f t="array" ref="B12">IFERROR(INDEX(Base_Estudiantes!$H$4:$H$505,MATCH(B6,Base_Estudiantes!$C$4:$C$505,0)),"")</f>
        <v>927799329</v>
      </c>
      <c r="C12" s="15"/>
      <c r="D12" s="15"/>
    </row>
    <row r="13" spans="1:8">
      <c r="B13" s="15"/>
      <c r="C13" s="15"/>
      <c r="D13" s="15"/>
    </row>
    <row r="14" spans="1:8">
      <c r="A14" s="13" t="s">
        <v>1290</v>
      </c>
      <c r="B14" s="5"/>
      <c r="C14" s="15"/>
      <c r="D14" s="15"/>
    </row>
    <row r="15" spans="1:8">
      <c r="A15" s="13" t="s">
        <v>1291</v>
      </c>
      <c r="B15" s="5"/>
      <c r="C15" s="15"/>
      <c r="D15" s="15"/>
    </row>
    <row r="16" spans="1:8">
      <c r="A16" s="13" t="s">
        <v>1292</v>
      </c>
      <c r="B16" s="5"/>
      <c r="C16" s="15"/>
      <c r="D16" s="15"/>
    </row>
    <row r="17" spans="1:4">
      <c r="A17" s="13" t="s">
        <v>1293</v>
      </c>
      <c r="B17" s="5"/>
      <c r="C17" s="15"/>
      <c r="D17" s="15"/>
    </row>
    <row r="18" spans="1:4">
      <c r="A18" s="13" t="s">
        <v>1294</v>
      </c>
      <c r="B18" s="5"/>
      <c r="C18" s="15"/>
      <c r="D18" s="15"/>
    </row>
    <row r="19" spans="1:4">
      <c r="A19" s="13" t="s">
        <v>1295</v>
      </c>
      <c r="B19" s="5"/>
      <c r="C19" s="15"/>
      <c r="D19" s="15"/>
    </row>
    <row r="20" spans="1:4">
      <c r="A20" s="13" t="s">
        <v>1296</v>
      </c>
      <c r="B20" s="5"/>
      <c r="C20" s="15"/>
      <c r="D20" s="15"/>
    </row>
    <row r="21" spans="1:4" ht="15.75" customHeight="1">
      <c r="A21" s="13" t="s">
        <v>1297</v>
      </c>
      <c r="B21" s="5"/>
      <c r="C21" s="15"/>
      <c r="D21" s="15"/>
    </row>
    <row r="22" spans="1:4" ht="15.75" customHeight="1">
      <c r="A22" s="13" t="s">
        <v>1298</v>
      </c>
      <c r="B22" s="5"/>
      <c r="C22" s="15"/>
      <c r="D22" s="15"/>
    </row>
    <row r="23" spans="1:4" ht="15.75" customHeight="1">
      <c r="A23" s="13" t="s">
        <v>17</v>
      </c>
      <c r="B23" s="5"/>
      <c r="C23" s="15"/>
      <c r="D23" s="15"/>
    </row>
    <row r="24" spans="1:4" ht="15.75" customHeight="1"/>
    <row r="25" spans="1:4" ht="15.75" customHeight="1">
      <c r="A25" s="18" t="s">
        <v>1299</v>
      </c>
      <c r="B25" s="18" t="s">
        <v>1300</v>
      </c>
      <c r="C25" s="10"/>
      <c r="D25" s="10"/>
    </row>
    <row r="26" spans="1:4" ht="15.75" customHeight="1"/>
    <row r="27" spans="1:4" ht="15.75" customHeight="1"/>
    <row r="28" spans="1:4" ht="15.75" customHeight="1"/>
    <row r="29" spans="1:4" ht="15.75" customHeight="1"/>
    <row r="30" spans="1:4" ht="15.75" customHeight="1"/>
    <row r="31" spans="1:4" ht="15.75" customHeight="1"/>
    <row r="32" spans="1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F2:H4"/>
  </mergeCells>
  <conditionalFormatting sqref="A25:D25">
    <cfRule type="expression" dxfId="0" priority="1">
      <formula>OR($B$6="",$B$14="",$B$15="")</formula>
    </cfRule>
  </conditionalFormatting>
  <dataValidations count="4">
    <dataValidation type="list" allowBlank="1" sqref="B18 B20">
      <formula1>ListaSiNo</formula1>
    </dataValidation>
    <dataValidation type="list" allowBlank="1" sqref="B6">
      <formula1>ListaRUTs</formula1>
    </dataValidation>
    <dataValidation type="list" allowBlank="1" sqref="B14">
      <formula1>ListaLugares</formula1>
    </dataValidation>
    <dataValidation type="list" allowBlank="1" sqref="B16">
      <formula1>ListaLesiones</formula1>
    </dataValidation>
  </dataValidations>
  <pageMargins left="0.75" right="0.75" top="1" bottom="1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000"/>
  <sheetViews>
    <sheetView showGridLines="0" tabSelected="1" workbookViewId="0">
      <pane ySplit="3" topLeftCell="A4" activePane="bottomLeft" state="frozen"/>
      <selection pane="bottomLeft" activeCell="D4" sqref="D4"/>
    </sheetView>
  </sheetViews>
  <sheetFormatPr baseColWidth="10" defaultColWidth="14.42578125" defaultRowHeight="15" customHeight="1"/>
  <cols>
    <col min="1" max="2" width="12" customWidth="1"/>
    <col min="3" max="3" width="10" customWidth="1"/>
    <col min="4" max="4" width="16" customWidth="1"/>
    <col min="5" max="5" width="14" customWidth="1"/>
    <col min="6" max="6" width="24" customWidth="1"/>
    <col min="7" max="7" width="18" customWidth="1"/>
    <col min="8" max="8" width="10" customWidth="1"/>
    <col min="9" max="9" width="22" customWidth="1"/>
    <col min="10" max="10" width="16" customWidth="1"/>
    <col min="11" max="11" width="18" customWidth="1"/>
    <col min="12" max="12" width="34" customWidth="1"/>
    <col min="13" max="13" width="16" customWidth="1"/>
    <col min="14" max="14" width="22" customWidth="1"/>
    <col min="15" max="15" width="16" customWidth="1"/>
    <col min="16" max="16" width="24" customWidth="1"/>
    <col min="17" max="17" width="18" customWidth="1"/>
    <col min="18" max="18" width="16" customWidth="1"/>
    <col min="19" max="19" width="20" customWidth="1"/>
    <col min="20" max="20" width="24" customWidth="1"/>
    <col min="21" max="26" width="9.140625" customWidth="1"/>
  </cols>
  <sheetData>
    <row r="1" spans="1:20" ht="18.75">
      <c r="A1" s="3" t="s">
        <v>1301</v>
      </c>
    </row>
    <row r="3" spans="1:20" ht="30">
      <c r="A3" s="4" t="s">
        <v>1302</v>
      </c>
      <c r="B3" s="4" t="s">
        <v>1286</v>
      </c>
      <c r="C3" s="4" t="s">
        <v>1287</v>
      </c>
      <c r="D3" s="4" t="s">
        <v>10</v>
      </c>
      <c r="E3" s="4" t="s">
        <v>8</v>
      </c>
      <c r="F3" s="4" t="s">
        <v>1289</v>
      </c>
      <c r="G3" s="4" t="s">
        <v>11</v>
      </c>
      <c r="H3" s="4" t="s">
        <v>13</v>
      </c>
      <c r="I3" s="4" t="s">
        <v>14</v>
      </c>
      <c r="J3" s="4" t="s">
        <v>15</v>
      </c>
      <c r="K3" s="4" t="s">
        <v>1290</v>
      </c>
      <c r="L3" s="4" t="s">
        <v>1291</v>
      </c>
      <c r="M3" s="4" t="s">
        <v>1292</v>
      </c>
      <c r="N3" s="4" t="s">
        <v>1303</v>
      </c>
      <c r="O3" s="4" t="s">
        <v>1294</v>
      </c>
      <c r="P3" s="4" t="s">
        <v>1295</v>
      </c>
      <c r="Q3" s="4" t="s">
        <v>1296</v>
      </c>
      <c r="R3" s="4" t="s">
        <v>1297</v>
      </c>
      <c r="S3" s="4" t="s">
        <v>1304</v>
      </c>
      <c r="T3" s="4" t="s">
        <v>17</v>
      </c>
    </row>
    <row r="4" spans="1:20">
      <c r="A4" s="19" t="str">
        <f t="shared" ref="A4:A605" si="0">IF(D4="","",COUNTA($D$4:D4))</f>
        <v/>
      </c>
      <c r="B4" s="6"/>
      <c r="C4" s="20"/>
      <c r="D4" s="5"/>
      <c r="E4" s="7" t="str">
        <f t="array" ref="E4">IFERROR(INDEX(Base_Estudiantes!$A$4:$A$505,MATCH(D4,Base_Estudiantes!$C$4:$C$505,0)),"")</f>
        <v/>
      </c>
      <c r="F4" s="7" t="str">
        <f t="array" ref="F4">IFERROR(INDEX(Base_Estudiantes!$B$4:$B$505,MATCH(D4,Base_Estudiantes!$C$4:$C$505,0)),"")</f>
        <v/>
      </c>
      <c r="G4" s="7" t="str">
        <f t="array" ref="G4">IFERROR(INDEX(Base_Estudiantes!$D$4:$D$505,MATCH(D4,Base_Estudiantes!$C$4:$C$505,0)),"")</f>
        <v/>
      </c>
      <c r="H4" s="7" t="str">
        <f t="array" ref="H4">IFERROR(INDEX(Base_Estudiantes!$F$4:$F$505,MATCH(D4,Base_Estudiantes!$C$4:$C$505,0)),"")</f>
        <v/>
      </c>
      <c r="I4" s="7" t="str">
        <f t="array" ref="I4">IFERROR(INDEX(Base_Estudiantes!$G$4:$G$505,MATCH(D4,Base_Estudiantes!$C$4:$C$505,0)),"")</f>
        <v/>
      </c>
      <c r="J4" s="7" t="str">
        <f t="array" ref="J4">IFERROR(INDEX(Base_Estudiantes!$H$4:$H$505,MATCH(D4,Base_Estudiantes!$C$4:$C$505,0)),"")</f>
        <v/>
      </c>
      <c r="K4" s="5"/>
      <c r="L4" s="5"/>
      <c r="M4" s="5"/>
      <c r="N4" s="5"/>
      <c r="O4" s="5"/>
      <c r="P4" s="5"/>
      <c r="Q4" s="5"/>
      <c r="R4" s="20"/>
      <c r="S4" s="5"/>
      <c r="T4" s="5"/>
    </row>
    <row r="5" spans="1:20">
      <c r="A5" s="19" t="str">
        <f t="shared" si="0"/>
        <v/>
      </c>
      <c r="B5" s="6"/>
      <c r="C5" s="20"/>
      <c r="D5" s="5"/>
      <c r="E5" s="7" t="str">
        <f t="array" ref="E5">IFERROR(INDEX(Base_Estudiantes!$A$4:$A$505,MATCH(D5,Base_Estudiantes!$C$4:$C$505,0)),"")</f>
        <v/>
      </c>
      <c r="F5" s="7" t="str">
        <f t="array" ref="F5">IFERROR(INDEX(Base_Estudiantes!$B$4:$B$505,MATCH(D5,Base_Estudiantes!$C$4:$C$505,0)),"")</f>
        <v/>
      </c>
      <c r="G5" s="7" t="str">
        <f t="array" ref="G5">IFERROR(INDEX(Base_Estudiantes!$D$4:$D$505,MATCH(D5,Base_Estudiantes!$C$4:$C$505,0)),"")</f>
        <v/>
      </c>
      <c r="H5" s="7" t="str">
        <f t="array" ref="H5">IFERROR(INDEX(Base_Estudiantes!$F$4:$F$505,MATCH(D5,Base_Estudiantes!$C$4:$C$505,0)),"")</f>
        <v/>
      </c>
      <c r="I5" s="7" t="str">
        <f t="array" ref="I5">IFERROR(INDEX(Base_Estudiantes!$G$4:$G$505,MATCH(D5,Base_Estudiantes!$C$4:$C$505,0)),"")</f>
        <v/>
      </c>
      <c r="J5" s="7" t="str">
        <f t="array" ref="J5">IFERROR(INDEX(Base_Estudiantes!$H$4:$H$505,MATCH(D5,Base_Estudiantes!$C$4:$C$505,0)),"")</f>
        <v/>
      </c>
      <c r="K5" s="5"/>
      <c r="L5" s="5"/>
      <c r="M5" s="5"/>
      <c r="N5" s="5"/>
      <c r="O5" s="5"/>
      <c r="P5" s="5"/>
      <c r="Q5" s="5"/>
      <c r="R5" s="20"/>
      <c r="S5" s="5"/>
      <c r="T5" s="5"/>
    </row>
    <row r="6" spans="1:20">
      <c r="A6" s="19" t="str">
        <f t="shared" si="0"/>
        <v/>
      </c>
      <c r="B6" s="6"/>
      <c r="C6" s="20"/>
      <c r="D6" s="5"/>
      <c r="E6" s="7" t="str">
        <f t="array" ref="E6">IFERROR(INDEX(Base_Estudiantes!$A$4:$A$505,MATCH(D6,Base_Estudiantes!$C$4:$C$505,0)),"")</f>
        <v/>
      </c>
      <c r="F6" s="7" t="str">
        <f t="array" ref="F6">IFERROR(INDEX(Base_Estudiantes!$B$4:$B$505,MATCH(D6,Base_Estudiantes!$C$4:$C$505,0)),"")</f>
        <v/>
      </c>
      <c r="G6" s="7" t="str">
        <f t="array" ref="G6">IFERROR(INDEX(Base_Estudiantes!$D$4:$D$505,MATCH(D6,Base_Estudiantes!$C$4:$C$505,0)),"")</f>
        <v/>
      </c>
      <c r="H6" s="7" t="str">
        <f t="array" ref="H6">IFERROR(INDEX(Base_Estudiantes!$F$4:$F$505,MATCH(D6,Base_Estudiantes!$C$4:$C$505,0)),"")</f>
        <v/>
      </c>
      <c r="I6" s="7" t="str">
        <f t="array" ref="I6">IFERROR(INDEX(Base_Estudiantes!$G$4:$G$505,MATCH(D6,Base_Estudiantes!$C$4:$C$505,0)),"")</f>
        <v/>
      </c>
      <c r="J6" s="7" t="str">
        <f t="array" ref="J6">IFERROR(INDEX(Base_Estudiantes!$H$4:$H$505,MATCH(D6,Base_Estudiantes!$C$4:$C$505,0)),"")</f>
        <v/>
      </c>
      <c r="K6" s="5"/>
      <c r="L6" s="5"/>
      <c r="M6" s="5"/>
      <c r="N6" s="5"/>
      <c r="O6" s="5"/>
      <c r="P6" s="5"/>
      <c r="Q6" s="5"/>
      <c r="R6" s="20"/>
      <c r="S6" s="5"/>
      <c r="T6" s="5"/>
    </row>
    <row r="7" spans="1:20">
      <c r="A7" s="19" t="str">
        <f t="shared" si="0"/>
        <v/>
      </c>
      <c r="B7" s="6"/>
      <c r="C7" s="20"/>
      <c r="D7" s="5"/>
      <c r="E7" s="7" t="str">
        <f t="array" ref="E7">IFERROR(INDEX(Base_Estudiantes!$A$4:$A$505,MATCH(D7,Base_Estudiantes!$C$4:$C$505,0)),"")</f>
        <v/>
      </c>
      <c r="F7" s="7" t="str">
        <f t="array" ref="F7">IFERROR(INDEX(Base_Estudiantes!$B$4:$B$505,MATCH(D7,Base_Estudiantes!$C$4:$C$505,0)),"")</f>
        <v/>
      </c>
      <c r="G7" s="7" t="str">
        <f t="array" ref="G7">IFERROR(INDEX(Base_Estudiantes!$D$4:$D$505,MATCH(D7,Base_Estudiantes!$C$4:$C$505,0)),"")</f>
        <v/>
      </c>
      <c r="H7" s="7" t="str">
        <f t="array" ref="H7">IFERROR(INDEX(Base_Estudiantes!$F$4:$F$505,MATCH(D7,Base_Estudiantes!$C$4:$C$505,0)),"")</f>
        <v/>
      </c>
      <c r="I7" s="7" t="str">
        <f t="array" ref="I7">IFERROR(INDEX(Base_Estudiantes!$G$4:$G$505,MATCH(D7,Base_Estudiantes!$C$4:$C$505,0)),"")</f>
        <v/>
      </c>
      <c r="J7" s="7" t="str">
        <f t="array" ref="J7">IFERROR(INDEX(Base_Estudiantes!$H$4:$H$505,MATCH(D7,Base_Estudiantes!$C$4:$C$505,0)),"")</f>
        <v/>
      </c>
      <c r="K7" s="5"/>
      <c r="L7" s="5"/>
      <c r="M7" s="5"/>
      <c r="N7" s="5"/>
      <c r="O7" s="5"/>
      <c r="P7" s="5"/>
      <c r="Q7" s="5"/>
      <c r="R7" s="20"/>
      <c r="S7" s="5"/>
      <c r="T7" s="5"/>
    </row>
    <row r="8" spans="1:20">
      <c r="A8" s="19" t="str">
        <f t="shared" si="0"/>
        <v/>
      </c>
      <c r="B8" s="6"/>
      <c r="C8" s="20"/>
      <c r="D8" s="5"/>
      <c r="E8" s="7" t="str">
        <f t="array" ref="E8">IFERROR(INDEX(Base_Estudiantes!$A$4:$A$505,MATCH(D8,Base_Estudiantes!$C$4:$C$505,0)),"")</f>
        <v/>
      </c>
      <c r="F8" s="7" t="str">
        <f t="array" ref="F8">IFERROR(INDEX(Base_Estudiantes!$B$4:$B$505,MATCH(D8,Base_Estudiantes!$C$4:$C$505,0)),"")</f>
        <v/>
      </c>
      <c r="G8" s="7" t="str">
        <f t="array" ref="G8">IFERROR(INDEX(Base_Estudiantes!$D$4:$D$505,MATCH(D8,Base_Estudiantes!$C$4:$C$505,0)),"")</f>
        <v/>
      </c>
      <c r="H8" s="7" t="str">
        <f t="array" ref="H8">IFERROR(INDEX(Base_Estudiantes!$F$4:$F$505,MATCH(D8,Base_Estudiantes!$C$4:$C$505,0)),"")</f>
        <v/>
      </c>
      <c r="I8" s="7" t="str">
        <f t="array" ref="I8">IFERROR(INDEX(Base_Estudiantes!$G$4:$G$505,MATCH(D8,Base_Estudiantes!$C$4:$C$505,0)),"")</f>
        <v/>
      </c>
      <c r="J8" s="7" t="str">
        <f t="array" ref="J8">IFERROR(INDEX(Base_Estudiantes!$H$4:$H$505,MATCH(D8,Base_Estudiantes!$C$4:$C$505,0)),"")</f>
        <v/>
      </c>
      <c r="K8" s="5"/>
      <c r="L8" s="5"/>
      <c r="M8" s="5"/>
      <c r="N8" s="5"/>
      <c r="O8" s="5"/>
      <c r="P8" s="5"/>
      <c r="Q8" s="5"/>
      <c r="R8" s="20"/>
      <c r="S8" s="5"/>
      <c r="T8" s="5"/>
    </row>
    <row r="9" spans="1:20">
      <c r="A9" s="19" t="str">
        <f t="shared" si="0"/>
        <v/>
      </c>
      <c r="B9" s="6"/>
      <c r="C9" s="20"/>
      <c r="D9" s="5"/>
      <c r="E9" s="7" t="str">
        <f t="array" ref="E9">IFERROR(INDEX(Base_Estudiantes!$A$4:$A$505,MATCH(D9,Base_Estudiantes!$C$4:$C$505,0)),"")</f>
        <v/>
      </c>
      <c r="F9" s="7" t="str">
        <f t="array" ref="F9">IFERROR(INDEX(Base_Estudiantes!$B$4:$B$505,MATCH(D9,Base_Estudiantes!$C$4:$C$505,0)),"")</f>
        <v/>
      </c>
      <c r="G9" s="7" t="str">
        <f t="array" ref="G9">IFERROR(INDEX(Base_Estudiantes!$D$4:$D$505,MATCH(D9,Base_Estudiantes!$C$4:$C$505,0)),"")</f>
        <v/>
      </c>
      <c r="H9" s="7" t="str">
        <f t="array" ref="H9">IFERROR(INDEX(Base_Estudiantes!$F$4:$F$505,MATCH(D9,Base_Estudiantes!$C$4:$C$505,0)),"")</f>
        <v/>
      </c>
      <c r="I9" s="7" t="str">
        <f t="array" ref="I9">IFERROR(INDEX(Base_Estudiantes!$G$4:$G$505,MATCH(D9,Base_Estudiantes!$C$4:$C$505,0)),"")</f>
        <v/>
      </c>
      <c r="J9" s="7" t="str">
        <f t="array" ref="J9">IFERROR(INDEX(Base_Estudiantes!$H$4:$H$505,MATCH(D9,Base_Estudiantes!$C$4:$C$505,0)),"")</f>
        <v/>
      </c>
      <c r="K9" s="5"/>
      <c r="L9" s="5"/>
      <c r="M9" s="5"/>
      <c r="N9" s="5"/>
      <c r="O9" s="5"/>
      <c r="P9" s="5"/>
      <c r="Q9" s="5"/>
      <c r="R9" s="20"/>
      <c r="S9" s="5"/>
      <c r="T9" s="5"/>
    </row>
    <row r="10" spans="1:20">
      <c r="A10" s="19" t="str">
        <f t="shared" si="0"/>
        <v/>
      </c>
      <c r="B10" s="6"/>
      <c r="C10" s="20"/>
      <c r="D10" s="5"/>
      <c r="E10" s="7" t="str">
        <f t="array" ref="E10">IFERROR(INDEX(Base_Estudiantes!$A$4:$A$505,MATCH(D10,Base_Estudiantes!$C$4:$C$505,0)),"")</f>
        <v/>
      </c>
      <c r="F10" s="7" t="str">
        <f t="array" ref="F10">IFERROR(INDEX(Base_Estudiantes!$B$4:$B$505,MATCH(D10,Base_Estudiantes!$C$4:$C$505,0)),"")</f>
        <v/>
      </c>
      <c r="G10" s="7" t="str">
        <f t="array" ref="G10">IFERROR(INDEX(Base_Estudiantes!$D$4:$D$505,MATCH(D10,Base_Estudiantes!$C$4:$C$505,0)),"")</f>
        <v/>
      </c>
      <c r="H10" s="7" t="str">
        <f t="array" ref="H10">IFERROR(INDEX(Base_Estudiantes!$F$4:$F$505,MATCH(D10,Base_Estudiantes!$C$4:$C$505,0)),"")</f>
        <v/>
      </c>
      <c r="I10" s="7" t="str">
        <f t="array" ref="I10">IFERROR(INDEX(Base_Estudiantes!$G$4:$G$505,MATCH(D10,Base_Estudiantes!$C$4:$C$505,0)),"")</f>
        <v/>
      </c>
      <c r="J10" s="7" t="str">
        <f t="array" ref="J10">IFERROR(INDEX(Base_Estudiantes!$H$4:$H$505,MATCH(D10,Base_Estudiantes!$C$4:$C$505,0)),"")</f>
        <v/>
      </c>
      <c r="K10" s="5"/>
      <c r="L10" s="5"/>
      <c r="M10" s="5"/>
      <c r="N10" s="5"/>
      <c r="O10" s="5"/>
      <c r="P10" s="5"/>
      <c r="Q10" s="5"/>
      <c r="R10" s="20"/>
      <c r="S10" s="5"/>
      <c r="T10" s="5"/>
    </row>
    <row r="11" spans="1:20">
      <c r="A11" s="19" t="str">
        <f t="shared" si="0"/>
        <v/>
      </c>
      <c r="B11" s="6"/>
      <c r="C11" s="20"/>
      <c r="D11" s="5"/>
      <c r="E11" s="7" t="str">
        <f t="array" ref="E11">IFERROR(INDEX(Base_Estudiantes!$A$4:$A$505,MATCH(D11,Base_Estudiantes!$C$4:$C$505,0)),"")</f>
        <v/>
      </c>
      <c r="F11" s="7" t="str">
        <f t="array" ref="F11">IFERROR(INDEX(Base_Estudiantes!$B$4:$B$505,MATCH(D11,Base_Estudiantes!$C$4:$C$505,0)),"")</f>
        <v/>
      </c>
      <c r="G11" s="7" t="str">
        <f t="array" ref="G11">IFERROR(INDEX(Base_Estudiantes!$D$4:$D$505,MATCH(D11,Base_Estudiantes!$C$4:$C$505,0)),"")</f>
        <v/>
      </c>
      <c r="H11" s="7" t="str">
        <f t="array" ref="H11">IFERROR(INDEX(Base_Estudiantes!$F$4:$F$505,MATCH(D11,Base_Estudiantes!$C$4:$C$505,0)),"")</f>
        <v/>
      </c>
      <c r="I11" s="7" t="str">
        <f t="array" ref="I11">IFERROR(INDEX(Base_Estudiantes!$G$4:$G$505,MATCH(D11,Base_Estudiantes!$C$4:$C$505,0)),"")</f>
        <v/>
      </c>
      <c r="J11" s="7" t="str">
        <f t="array" ref="J11">IFERROR(INDEX(Base_Estudiantes!$H$4:$H$505,MATCH(D11,Base_Estudiantes!$C$4:$C$505,0)),"")</f>
        <v/>
      </c>
      <c r="K11" s="5"/>
      <c r="L11" s="5"/>
      <c r="M11" s="5"/>
      <c r="N11" s="5"/>
      <c r="O11" s="5"/>
      <c r="P11" s="5"/>
      <c r="Q11" s="5"/>
      <c r="R11" s="20"/>
      <c r="S11" s="5"/>
      <c r="T11" s="5"/>
    </row>
    <row r="12" spans="1:20">
      <c r="A12" s="19" t="str">
        <f t="shared" si="0"/>
        <v/>
      </c>
      <c r="B12" s="6"/>
      <c r="C12" s="20"/>
      <c r="D12" s="5"/>
      <c r="E12" s="7" t="str">
        <f t="array" ref="E12">IFERROR(INDEX(Base_Estudiantes!$A$4:$A$505,MATCH(D12,Base_Estudiantes!$C$4:$C$505,0)),"")</f>
        <v/>
      </c>
      <c r="F12" s="7" t="str">
        <f t="array" ref="F12">IFERROR(INDEX(Base_Estudiantes!$B$4:$B$505,MATCH(D12,Base_Estudiantes!$C$4:$C$505,0)),"")</f>
        <v/>
      </c>
      <c r="G12" s="7" t="str">
        <f t="array" ref="G12">IFERROR(INDEX(Base_Estudiantes!$D$4:$D$505,MATCH(D12,Base_Estudiantes!$C$4:$C$505,0)),"")</f>
        <v/>
      </c>
      <c r="H12" s="7" t="str">
        <f t="array" ref="H12">IFERROR(INDEX(Base_Estudiantes!$F$4:$F$505,MATCH(D12,Base_Estudiantes!$C$4:$C$505,0)),"")</f>
        <v/>
      </c>
      <c r="I12" s="7" t="str">
        <f t="array" ref="I12">IFERROR(INDEX(Base_Estudiantes!$G$4:$G$505,MATCH(D12,Base_Estudiantes!$C$4:$C$505,0)),"")</f>
        <v/>
      </c>
      <c r="J12" s="7" t="str">
        <f t="array" ref="J12">IFERROR(INDEX(Base_Estudiantes!$H$4:$H$505,MATCH(D12,Base_Estudiantes!$C$4:$C$505,0)),"")</f>
        <v/>
      </c>
      <c r="K12" s="5"/>
      <c r="L12" s="5"/>
      <c r="M12" s="5"/>
      <c r="N12" s="5"/>
      <c r="O12" s="5"/>
      <c r="P12" s="5"/>
      <c r="Q12" s="5"/>
      <c r="R12" s="20"/>
      <c r="S12" s="5"/>
      <c r="T12" s="5"/>
    </row>
    <row r="13" spans="1:20">
      <c r="A13" s="19" t="str">
        <f t="shared" si="0"/>
        <v/>
      </c>
      <c r="B13" s="6"/>
      <c r="C13" s="20"/>
      <c r="D13" s="5"/>
      <c r="E13" s="7" t="str">
        <f t="array" ref="E13">IFERROR(INDEX(Base_Estudiantes!$A$4:$A$505,MATCH(D13,Base_Estudiantes!$C$4:$C$505,0)),"")</f>
        <v/>
      </c>
      <c r="F13" s="7" t="str">
        <f t="array" ref="F13">IFERROR(INDEX(Base_Estudiantes!$B$4:$B$505,MATCH(D13,Base_Estudiantes!$C$4:$C$505,0)),"")</f>
        <v/>
      </c>
      <c r="G13" s="7" t="str">
        <f t="array" ref="G13">IFERROR(INDEX(Base_Estudiantes!$D$4:$D$505,MATCH(D13,Base_Estudiantes!$C$4:$C$505,0)),"")</f>
        <v/>
      </c>
      <c r="H13" s="7" t="str">
        <f t="array" ref="H13">IFERROR(INDEX(Base_Estudiantes!$F$4:$F$505,MATCH(D13,Base_Estudiantes!$C$4:$C$505,0)),"")</f>
        <v/>
      </c>
      <c r="I13" s="7" t="str">
        <f t="array" ref="I13">IFERROR(INDEX(Base_Estudiantes!$G$4:$G$505,MATCH(D13,Base_Estudiantes!$C$4:$C$505,0)),"")</f>
        <v/>
      </c>
      <c r="J13" s="7" t="str">
        <f t="array" ref="J13">IFERROR(INDEX(Base_Estudiantes!$H$4:$H$505,MATCH(D13,Base_Estudiantes!$C$4:$C$505,0)),"")</f>
        <v/>
      </c>
      <c r="K13" s="5"/>
      <c r="L13" s="5"/>
      <c r="M13" s="5"/>
      <c r="N13" s="5"/>
      <c r="O13" s="5"/>
      <c r="P13" s="5"/>
      <c r="Q13" s="5"/>
      <c r="R13" s="20"/>
      <c r="S13" s="5"/>
      <c r="T13" s="5"/>
    </row>
    <row r="14" spans="1:20">
      <c r="A14" s="19" t="str">
        <f t="shared" si="0"/>
        <v/>
      </c>
      <c r="B14" s="6"/>
      <c r="C14" s="20"/>
      <c r="D14" s="5"/>
      <c r="E14" s="7" t="str">
        <f t="array" ref="E14">IFERROR(INDEX(Base_Estudiantes!$A$4:$A$505,MATCH(D14,Base_Estudiantes!$C$4:$C$505,0)),"")</f>
        <v/>
      </c>
      <c r="F14" s="7" t="str">
        <f t="array" ref="F14">IFERROR(INDEX(Base_Estudiantes!$B$4:$B$505,MATCH(D14,Base_Estudiantes!$C$4:$C$505,0)),"")</f>
        <v/>
      </c>
      <c r="G14" s="7" t="str">
        <f t="array" ref="G14">IFERROR(INDEX(Base_Estudiantes!$D$4:$D$505,MATCH(D14,Base_Estudiantes!$C$4:$C$505,0)),"")</f>
        <v/>
      </c>
      <c r="H14" s="7" t="str">
        <f t="array" ref="H14">IFERROR(INDEX(Base_Estudiantes!$F$4:$F$505,MATCH(D14,Base_Estudiantes!$C$4:$C$505,0)),"")</f>
        <v/>
      </c>
      <c r="I14" s="7" t="str">
        <f t="array" ref="I14">IFERROR(INDEX(Base_Estudiantes!$G$4:$G$505,MATCH(D14,Base_Estudiantes!$C$4:$C$505,0)),"")</f>
        <v/>
      </c>
      <c r="J14" s="7" t="str">
        <f t="array" ref="J14">IFERROR(INDEX(Base_Estudiantes!$H$4:$H$505,MATCH(D14,Base_Estudiantes!$C$4:$C$505,0)),"")</f>
        <v/>
      </c>
      <c r="K14" s="5"/>
      <c r="L14" s="5"/>
      <c r="M14" s="5"/>
      <c r="N14" s="5"/>
      <c r="O14" s="5"/>
      <c r="P14" s="5"/>
      <c r="Q14" s="5"/>
      <c r="R14" s="20"/>
      <c r="S14" s="5"/>
      <c r="T14" s="5"/>
    </row>
    <row r="15" spans="1:20">
      <c r="A15" s="19" t="str">
        <f t="shared" si="0"/>
        <v/>
      </c>
      <c r="B15" s="6"/>
      <c r="C15" s="20"/>
      <c r="D15" s="5"/>
      <c r="E15" s="7" t="str">
        <f t="array" ref="E15">IFERROR(INDEX(Base_Estudiantes!$A$4:$A$505,MATCH(D15,Base_Estudiantes!$C$4:$C$505,0)),"")</f>
        <v/>
      </c>
      <c r="F15" s="7" t="str">
        <f t="array" ref="F15">IFERROR(INDEX(Base_Estudiantes!$B$4:$B$505,MATCH(D15,Base_Estudiantes!$C$4:$C$505,0)),"")</f>
        <v/>
      </c>
      <c r="G15" s="7" t="str">
        <f t="array" ref="G15">IFERROR(INDEX(Base_Estudiantes!$D$4:$D$505,MATCH(D15,Base_Estudiantes!$C$4:$C$505,0)),"")</f>
        <v/>
      </c>
      <c r="H15" s="7" t="str">
        <f t="array" ref="H15">IFERROR(INDEX(Base_Estudiantes!$F$4:$F$505,MATCH(D15,Base_Estudiantes!$C$4:$C$505,0)),"")</f>
        <v/>
      </c>
      <c r="I15" s="7" t="str">
        <f t="array" ref="I15">IFERROR(INDEX(Base_Estudiantes!$G$4:$G$505,MATCH(D15,Base_Estudiantes!$C$4:$C$505,0)),"")</f>
        <v/>
      </c>
      <c r="J15" s="7" t="str">
        <f t="array" ref="J15">IFERROR(INDEX(Base_Estudiantes!$H$4:$H$505,MATCH(D15,Base_Estudiantes!$C$4:$C$505,0)),"")</f>
        <v/>
      </c>
      <c r="K15" s="5"/>
      <c r="L15" s="5"/>
      <c r="M15" s="5"/>
      <c r="N15" s="5"/>
      <c r="O15" s="5"/>
      <c r="P15" s="5"/>
      <c r="Q15" s="5"/>
      <c r="R15" s="20"/>
      <c r="S15" s="5"/>
      <c r="T15" s="5"/>
    </row>
    <row r="16" spans="1:20">
      <c r="A16" s="19" t="str">
        <f t="shared" si="0"/>
        <v/>
      </c>
      <c r="B16" s="6"/>
      <c r="C16" s="20"/>
      <c r="D16" s="5"/>
      <c r="E16" s="7" t="str">
        <f t="array" ref="E16">IFERROR(INDEX(Base_Estudiantes!$A$4:$A$505,MATCH(D16,Base_Estudiantes!$C$4:$C$505,0)),"")</f>
        <v/>
      </c>
      <c r="F16" s="7" t="str">
        <f t="array" ref="F16">IFERROR(INDEX(Base_Estudiantes!$B$4:$B$505,MATCH(D16,Base_Estudiantes!$C$4:$C$505,0)),"")</f>
        <v/>
      </c>
      <c r="G16" s="7" t="str">
        <f t="array" ref="G16">IFERROR(INDEX(Base_Estudiantes!$D$4:$D$505,MATCH(D16,Base_Estudiantes!$C$4:$C$505,0)),"")</f>
        <v/>
      </c>
      <c r="H16" s="7" t="str">
        <f t="array" ref="H16">IFERROR(INDEX(Base_Estudiantes!$F$4:$F$505,MATCH(D16,Base_Estudiantes!$C$4:$C$505,0)),"")</f>
        <v/>
      </c>
      <c r="I16" s="7" t="str">
        <f t="array" ref="I16">IFERROR(INDEX(Base_Estudiantes!$G$4:$G$505,MATCH(D16,Base_Estudiantes!$C$4:$C$505,0)),"")</f>
        <v/>
      </c>
      <c r="J16" s="7" t="str">
        <f t="array" ref="J16">IFERROR(INDEX(Base_Estudiantes!$H$4:$H$505,MATCH(D16,Base_Estudiantes!$C$4:$C$505,0)),"")</f>
        <v/>
      </c>
      <c r="K16" s="5"/>
      <c r="L16" s="5"/>
      <c r="M16" s="5"/>
      <c r="N16" s="5"/>
      <c r="O16" s="5"/>
      <c r="P16" s="5"/>
      <c r="Q16" s="5"/>
      <c r="R16" s="20"/>
      <c r="S16" s="5"/>
      <c r="T16" s="5"/>
    </row>
    <row r="17" spans="1:20">
      <c r="A17" s="19" t="str">
        <f t="shared" si="0"/>
        <v/>
      </c>
      <c r="B17" s="6"/>
      <c r="C17" s="20"/>
      <c r="D17" s="5"/>
      <c r="E17" s="7" t="str">
        <f t="array" ref="E17">IFERROR(INDEX(Base_Estudiantes!$A$4:$A$505,MATCH(D17,Base_Estudiantes!$C$4:$C$505,0)),"")</f>
        <v/>
      </c>
      <c r="F17" s="7" t="str">
        <f t="array" ref="F17">IFERROR(INDEX(Base_Estudiantes!$B$4:$B$505,MATCH(D17,Base_Estudiantes!$C$4:$C$505,0)),"")</f>
        <v/>
      </c>
      <c r="G17" s="7" t="str">
        <f t="array" ref="G17">IFERROR(INDEX(Base_Estudiantes!$D$4:$D$505,MATCH(D17,Base_Estudiantes!$C$4:$C$505,0)),"")</f>
        <v/>
      </c>
      <c r="H17" s="7" t="str">
        <f t="array" ref="H17">IFERROR(INDEX(Base_Estudiantes!$F$4:$F$505,MATCH(D17,Base_Estudiantes!$C$4:$C$505,0)),"")</f>
        <v/>
      </c>
      <c r="I17" s="7" t="str">
        <f t="array" ref="I17">IFERROR(INDEX(Base_Estudiantes!$G$4:$G$505,MATCH(D17,Base_Estudiantes!$C$4:$C$505,0)),"")</f>
        <v/>
      </c>
      <c r="J17" s="7" t="str">
        <f t="array" ref="J17">IFERROR(INDEX(Base_Estudiantes!$H$4:$H$505,MATCH(D17,Base_Estudiantes!$C$4:$C$505,0)),"")</f>
        <v/>
      </c>
      <c r="K17" s="5"/>
      <c r="L17" s="5"/>
      <c r="M17" s="5"/>
      <c r="N17" s="5"/>
      <c r="O17" s="5"/>
      <c r="P17" s="5"/>
      <c r="Q17" s="5"/>
      <c r="R17" s="20"/>
      <c r="S17" s="5"/>
      <c r="T17" s="5"/>
    </row>
    <row r="18" spans="1:20">
      <c r="A18" s="19" t="str">
        <f t="shared" si="0"/>
        <v/>
      </c>
      <c r="B18" s="6"/>
      <c r="C18" s="20"/>
      <c r="D18" s="5"/>
      <c r="E18" s="7" t="str">
        <f t="array" ref="E18">IFERROR(INDEX(Base_Estudiantes!$A$4:$A$505,MATCH(D18,Base_Estudiantes!$C$4:$C$505,0)),"")</f>
        <v/>
      </c>
      <c r="F18" s="7" t="str">
        <f t="array" ref="F18">IFERROR(INDEX(Base_Estudiantes!$B$4:$B$505,MATCH(D18,Base_Estudiantes!$C$4:$C$505,0)),"")</f>
        <v/>
      </c>
      <c r="G18" s="7" t="str">
        <f t="array" ref="G18">IFERROR(INDEX(Base_Estudiantes!$D$4:$D$505,MATCH(D18,Base_Estudiantes!$C$4:$C$505,0)),"")</f>
        <v/>
      </c>
      <c r="H18" s="7" t="str">
        <f t="array" ref="H18">IFERROR(INDEX(Base_Estudiantes!$F$4:$F$505,MATCH(D18,Base_Estudiantes!$C$4:$C$505,0)),"")</f>
        <v/>
      </c>
      <c r="I18" s="7" t="str">
        <f t="array" ref="I18">IFERROR(INDEX(Base_Estudiantes!$G$4:$G$505,MATCH(D18,Base_Estudiantes!$C$4:$C$505,0)),"")</f>
        <v/>
      </c>
      <c r="J18" s="7" t="str">
        <f t="array" ref="J18">IFERROR(INDEX(Base_Estudiantes!$H$4:$H$505,MATCH(D18,Base_Estudiantes!$C$4:$C$505,0)),"")</f>
        <v/>
      </c>
      <c r="K18" s="5"/>
      <c r="L18" s="5"/>
      <c r="M18" s="5"/>
      <c r="N18" s="5"/>
      <c r="O18" s="5"/>
      <c r="P18" s="5"/>
      <c r="Q18" s="5"/>
      <c r="R18" s="20"/>
      <c r="S18" s="5"/>
      <c r="T18" s="5"/>
    </row>
    <row r="19" spans="1:20">
      <c r="A19" s="19" t="str">
        <f t="shared" si="0"/>
        <v/>
      </c>
      <c r="B19" s="6"/>
      <c r="C19" s="20"/>
      <c r="D19" s="5"/>
      <c r="E19" s="7" t="str">
        <f t="array" ref="E19">IFERROR(INDEX(Base_Estudiantes!$A$4:$A$505,MATCH(D19,Base_Estudiantes!$C$4:$C$505,0)),"")</f>
        <v/>
      </c>
      <c r="F19" s="7" t="str">
        <f t="array" ref="F19">IFERROR(INDEX(Base_Estudiantes!$B$4:$B$505,MATCH(D19,Base_Estudiantes!$C$4:$C$505,0)),"")</f>
        <v/>
      </c>
      <c r="G19" s="7" t="str">
        <f t="array" ref="G19">IFERROR(INDEX(Base_Estudiantes!$D$4:$D$505,MATCH(D19,Base_Estudiantes!$C$4:$C$505,0)),"")</f>
        <v/>
      </c>
      <c r="H19" s="7" t="str">
        <f t="array" ref="H19">IFERROR(INDEX(Base_Estudiantes!$F$4:$F$505,MATCH(D19,Base_Estudiantes!$C$4:$C$505,0)),"")</f>
        <v/>
      </c>
      <c r="I19" s="7" t="str">
        <f t="array" ref="I19">IFERROR(INDEX(Base_Estudiantes!$G$4:$G$505,MATCH(D19,Base_Estudiantes!$C$4:$C$505,0)),"")</f>
        <v/>
      </c>
      <c r="J19" s="7" t="str">
        <f t="array" ref="J19">IFERROR(INDEX(Base_Estudiantes!$H$4:$H$505,MATCH(D19,Base_Estudiantes!$C$4:$C$505,0)),"")</f>
        <v/>
      </c>
      <c r="K19" s="5"/>
      <c r="L19" s="5"/>
      <c r="M19" s="5"/>
      <c r="N19" s="5"/>
      <c r="O19" s="5"/>
      <c r="P19" s="5"/>
      <c r="Q19" s="5"/>
      <c r="R19" s="20"/>
      <c r="S19" s="5"/>
      <c r="T19" s="5"/>
    </row>
    <row r="20" spans="1:20">
      <c r="A20" s="19" t="str">
        <f t="shared" si="0"/>
        <v/>
      </c>
      <c r="B20" s="6"/>
      <c r="C20" s="20"/>
      <c r="D20" s="5"/>
      <c r="E20" s="7" t="str">
        <f t="array" ref="E20">IFERROR(INDEX(Base_Estudiantes!$A$4:$A$505,MATCH(D20,Base_Estudiantes!$C$4:$C$505,0)),"")</f>
        <v/>
      </c>
      <c r="F20" s="7" t="str">
        <f t="array" ref="F20">IFERROR(INDEX(Base_Estudiantes!$B$4:$B$505,MATCH(D20,Base_Estudiantes!$C$4:$C$505,0)),"")</f>
        <v/>
      </c>
      <c r="G20" s="7" t="str">
        <f t="array" ref="G20">IFERROR(INDEX(Base_Estudiantes!$D$4:$D$505,MATCH(D20,Base_Estudiantes!$C$4:$C$505,0)),"")</f>
        <v/>
      </c>
      <c r="H20" s="7" t="str">
        <f t="array" ref="H20">IFERROR(INDEX(Base_Estudiantes!$F$4:$F$505,MATCH(D20,Base_Estudiantes!$C$4:$C$505,0)),"")</f>
        <v/>
      </c>
      <c r="I20" s="7" t="str">
        <f t="array" ref="I20">IFERROR(INDEX(Base_Estudiantes!$G$4:$G$505,MATCH(D20,Base_Estudiantes!$C$4:$C$505,0)),"")</f>
        <v/>
      </c>
      <c r="J20" s="7" t="str">
        <f t="array" ref="J20">IFERROR(INDEX(Base_Estudiantes!$H$4:$H$505,MATCH(D20,Base_Estudiantes!$C$4:$C$505,0)),"")</f>
        <v/>
      </c>
      <c r="K20" s="5"/>
      <c r="L20" s="5"/>
      <c r="M20" s="5"/>
      <c r="N20" s="5"/>
      <c r="O20" s="5"/>
      <c r="P20" s="5"/>
      <c r="Q20" s="5"/>
      <c r="R20" s="20"/>
      <c r="S20" s="5"/>
      <c r="T20" s="5"/>
    </row>
    <row r="21" spans="1:20" ht="15.75" customHeight="1">
      <c r="A21" s="19" t="str">
        <f t="shared" si="0"/>
        <v/>
      </c>
      <c r="B21" s="6"/>
      <c r="C21" s="20"/>
      <c r="D21" s="5"/>
      <c r="E21" s="7" t="str">
        <f t="array" ref="E21">IFERROR(INDEX(Base_Estudiantes!$A$4:$A$505,MATCH(D21,Base_Estudiantes!$C$4:$C$505,0)),"")</f>
        <v/>
      </c>
      <c r="F21" s="7" t="str">
        <f t="array" ref="F21">IFERROR(INDEX(Base_Estudiantes!$B$4:$B$505,MATCH(D21,Base_Estudiantes!$C$4:$C$505,0)),"")</f>
        <v/>
      </c>
      <c r="G21" s="7" t="str">
        <f t="array" ref="G21">IFERROR(INDEX(Base_Estudiantes!$D$4:$D$505,MATCH(D21,Base_Estudiantes!$C$4:$C$505,0)),"")</f>
        <v/>
      </c>
      <c r="H21" s="7" t="str">
        <f t="array" ref="H21">IFERROR(INDEX(Base_Estudiantes!$F$4:$F$505,MATCH(D21,Base_Estudiantes!$C$4:$C$505,0)),"")</f>
        <v/>
      </c>
      <c r="I21" s="7" t="str">
        <f t="array" ref="I21">IFERROR(INDEX(Base_Estudiantes!$G$4:$G$505,MATCH(D21,Base_Estudiantes!$C$4:$C$505,0)),"")</f>
        <v/>
      </c>
      <c r="J21" s="7" t="str">
        <f t="array" ref="J21">IFERROR(INDEX(Base_Estudiantes!$H$4:$H$505,MATCH(D21,Base_Estudiantes!$C$4:$C$505,0)),"")</f>
        <v/>
      </c>
      <c r="K21" s="5"/>
      <c r="L21" s="5"/>
      <c r="M21" s="5"/>
      <c r="N21" s="5"/>
      <c r="O21" s="5"/>
      <c r="P21" s="5"/>
      <c r="Q21" s="5"/>
      <c r="R21" s="20"/>
      <c r="S21" s="5"/>
      <c r="T21" s="5"/>
    </row>
    <row r="22" spans="1:20" ht="15.75" customHeight="1">
      <c r="A22" s="19" t="str">
        <f t="shared" si="0"/>
        <v/>
      </c>
      <c r="B22" s="6"/>
      <c r="C22" s="20"/>
      <c r="D22" s="5"/>
      <c r="E22" s="7" t="str">
        <f t="array" ref="E22">IFERROR(INDEX(Base_Estudiantes!$A$4:$A$505,MATCH(D22,Base_Estudiantes!$C$4:$C$505,0)),"")</f>
        <v/>
      </c>
      <c r="F22" s="7" t="str">
        <f t="array" ref="F22">IFERROR(INDEX(Base_Estudiantes!$B$4:$B$505,MATCH(D22,Base_Estudiantes!$C$4:$C$505,0)),"")</f>
        <v/>
      </c>
      <c r="G22" s="7" t="str">
        <f t="array" ref="G22">IFERROR(INDEX(Base_Estudiantes!$D$4:$D$505,MATCH(D22,Base_Estudiantes!$C$4:$C$505,0)),"")</f>
        <v/>
      </c>
      <c r="H22" s="7" t="str">
        <f t="array" ref="H22">IFERROR(INDEX(Base_Estudiantes!$F$4:$F$505,MATCH(D22,Base_Estudiantes!$C$4:$C$505,0)),"")</f>
        <v/>
      </c>
      <c r="I22" s="7" t="str">
        <f t="array" ref="I22">IFERROR(INDEX(Base_Estudiantes!$G$4:$G$505,MATCH(D22,Base_Estudiantes!$C$4:$C$505,0)),"")</f>
        <v/>
      </c>
      <c r="J22" s="7" t="str">
        <f t="array" ref="J22">IFERROR(INDEX(Base_Estudiantes!$H$4:$H$505,MATCH(D22,Base_Estudiantes!$C$4:$C$505,0)),"")</f>
        <v/>
      </c>
      <c r="K22" s="5"/>
      <c r="L22" s="5"/>
      <c r="M22" s="5"/>
      <c r="N22" s="5"/>
      <c r="O22" s="5"/>
      <c r="P22" s="5"/>
      <c r="Q22" s="5"/>
      <c r="R22" s="20"/>
      <c r="S22" s="5"/>
      <c r="T22" s="5"/>
    </row>
    <row r="23" spans="1:20" ht="15.75" customHeight="1">
      <c r="A23" s="19" t="str">
        <f t="shared" si="0"/>
        <v/>
      </c>
      <c r="B23" s="6"/>
      <c r="C23" s="20"/>
      <c r="D23" s="5"/>
      <c r="E23" s="7" t="str">
        <f t="array" ref="E23">IFERROR(INDEX(Base_Estudiantes!$A$4:$A$505,MATCH(D23,Base_Estudiantes!$C$4:$C$505,0)),"")</f>
        <v/>
      </c>
      <c r="F23" s="7" t="str">
        <f t="array" ref="F23">IFERROR(INDEX(Base_Estudiantes!$B$4:$B$505,MATCH(D23,Base_Estudiantes!$C$4:$C$505,0)),"")</f>
        <v/>
      </c>
      <c r="G23" s="7" t="str">
        <f t="array" ref="G23">IFERROR(INDEX(Base_Estudiantes!$D$4:$D$505,MATCH(D23,Base_Estudiantes!$C$4:$C$505,0)),"")</f>
        <v/>
      </c>
      <c r="H23" s="7" t="str">
        <f t="array" ref="H23">IFERROR(INDEX(Base_Estudiantes!$F$4:$F$505,MATCH(D23,Base_Estudiantes!$C$4:$C$505,0)),"")</f>
        <v/>
      </c>
      <c r="I23" s="7" t="str">
        <f t="array" ref="I23">IFERROR(INDEX(Base_Estudiantes!$G$4:$G$505,MATCH(D23,Base_Estudiantes!$C$4:$C$505,0)),"")</f>
        <v/>
      </c>
      <c r="J23" s="7" t="str">
        <f t="array" ref="J23">IFERROR(INDEX(Base_Estudiantes!$H$4:$H$505,MATCH(D23,Base_Estudiantes!$C$4:$C$505,0)),"")</f>
        <v/>
      </c>
      <c r="K23" s="5"/>
      <c r="L23" s="5"/>
      <c r="M23" s="5"/>
      <c r="N23" s="5"/>
      <c r="O23" s="5"/>
      <c r="P23" s="5"/>
      <c r="Q23" s="5"/>
      <c r="R23" s="20"/>
      <c r="S23" s="5"/>
      <c r="T23" s="5"/>
    </row>
    <row r="24" spans="1:20" ht="15.75" customHeight="1">
      <c r="A24" s="19" t="str">
        <f t="shared" si="0"/>
        <v/>
      </c>
      <c r="B24" s="6"/>
      <c r="C24" s="20"/>
      <c r="D24" s="5"/>
      <c r="E24" s="7" t="str">
        <f t="array" ref="E24">IFERROR(INDEX(Base_Estudiantes!$A$4:$A$505,MATCH(D24,Base_Estudiantes!$C$4:$C$505,0)),"")</f>
        <v/>
      </c>
      <c r="F24" s="7" t="str">
        <f t="array" ref="F24">IFERROR(INDEX(Base_Estudiantes!$B$4:$B$505,MATCH(D24,Base_Estudiantes!$C$4:$C$505,0)),"")</f>
        <v/>
      </c>
      <c r="G24" s="7" t="str">
        <f t="array" ref="G24">IFERROR(INDEX(Base_Estudiantes!$D$4:$D$505,MATCH(D24,Base_Estudiantes!$C$4:$C$505,0)),"")</f>
        <v/>
      </c>
      <c r="H24" s="7" t="str">
        <f t="array" ref="H24">IFERROR(INDEX(Base_Estudiantes!$F$4:$F$505,MATCH(D24,Base_Estudiantes!$C$4:$C$505,0)),"")</f>
        <v/>
      </c>
      <c r="I24" s="7" t="str">
        <f t="array" ref="I24">IFERROR(INDEX(Base_Estudiantes!$G$4:$G$505,MATCH(D24,Base_Estudiantes!$C$4:$C$505,0)),"")</f>
        <v/>
      </c>
      <c r="J24" s="7" t="str">
        <f t="array" ref="J24">IFERROR(INDEX(Base_Estudiantes!$H$4:$H$505,MATCH(D24,Base_Estudiantes!$C$4:$C$505,0)),"")</f>
        <v/>
      </c>
      <c r="K24" s="5"/>
      <c r="L24" s="5"/>
      <c r="M24" s="5"/>
      <c r="N24" s="5"/>
      <c r="O24" s="5"/>
      <c r="P24" s="5"/>
      <c r="Q24" s="5"/>
      <c r="R24" s="20"/>
      <c r="S24" s="5"/>
      <c r="T24" s="5"/>
    </row>
    <row r="25" spans="1:20" ht="15.75" customHeight="1">
      <c r="A25" s="19" t="str">
        <f t="shared" si="0"/>
        <v/>
      </c>
      <c r="B25" s="6"/>
      <c r="C25" s="20"/>
      <c r="D25" s="5"/>
      <c r="E25" s="7" t="str">
        <f t="array" ref="E25">IFERROR(INDEX(Base_Estudiantes!$A$4:$A$505,MATCH(D25,Base_Estudiantes!$C$4:$C$505,0)),"")</f>
        <v/>
      </c>
      <c r="F25" s="7" t="str">
        <f t="array" ref="F25">IFERROR(INDEX(Base_Estudiantes!$B$4:$B$505,MATCH(D25,Base_Estudiantes!$C$4:$C$505,0)),"")</f>
        <v/>
      </c>
      <c r="G25" s="7" t="str">
        <f t="array" ref="G25">IFERROR(INDEX(Base_Estudiantes!$D$4:$D$505,MATCH(D25,Base_Estudiantes!$C$4:$C$505,0)),"")</f>
        <v/>
      </c>
      <c r="H25" s="7" t="str">
        <f t="array" ref="H25">IFERROR(INDEX(Base_Estudiantes!$F$4:$F$505,MATCH(D25,Base_Estudiantes!$C$4:$C$505,0)),"")</f>
        <v/>
      </c>
      <c r="I25" s="7" t="str">
        <f t="array" ref="I25">IFERROR(INDEX(Base_Estudiantes!$G$4:$G$505,MATCH(D25,Base_Estudiantes!$C$4:$C$505,0)),"")</f>
        <v/>
      </c>
      <c r="J25" s="7" t="str">
        <f t="array" ref="J25">IFERROR(INDEX(Base_Estudiantes!$H$4:$H$505,MATCH(D25,Base_Estudiantes!$C$4:$C$505,0)),"")</f>
        <v/>
      </c>
      <c r="K25" s="5"/>
      <c r="L25" s="5"/>
      <c r="M25" s="5"/>
      <c r="N25" s="5"/>
      <c r="O25" s="5"/>
      <c r="P25" s="5"/>
      <c r="Q25" s="5"/>
      <c r="R25" s="20"/>
      <c r="S25" s="5"/>
      <c r="T25" s="5"/>
    </row>
    <row r="26" spans="1:20" ht="15.75" customHeight="1">
      <c r="A26" s="19" t="str">
        <f t="shared" si="0"/>
        <v/>
      </c>
      <c r="B26" s="6"/>
      <c r="C26" s="20"/>
      <c r="D26" s="5"/>
      <c r="E26" s="7" t="str">
        <f t="array" ref="E26">IFERROR(INDEX(Base_Estudiantes!$A$4:$A$505,MATCH(D26,Base_Estudiantes!$C$4:$C$505,0)),"")</f>
        <v/>
      </c>
      <c r="F26" s="7" t="str">
        <f t="array" ref="F26">IFERROR(INDEX(Base_Estudiantes!$B$4:$B$505,MATCH(D26,Base_Estudiantes!$C$4:$C$505,0)),"")</f>
        <v/>
      </c>
      <c r="G26" s="7" t="str">
        <f t="array" ref="G26">IFERROR(INDEX(Base_Estudiantes!$D$4:$D$505,MATCH(D26,Base_Estudiantes!$C$4:$C$505,0)),"")</f>
        <v/>
      </c>
      <c r="H26" s="7" t="str">
        <f t="array" ref="H26">IFERROR(INDEX(Base_Estudiantes!$F$4:$F$505,MATCH(D26,Base_Estudiantes!$C$4:$C$505,0)),"")</f>
        <v/>
      </c>
      <c r="I26" s="7" t="str">
        <f t="array" ref="I26">IFERROR(INDEX(Base_Estudiantes!$G$4:$G$505,MATCH(D26,Base_Estudiantes!$C$4:$C$505,0)),"")</f>
        <v/>
      </c>
      <c r="J26" s="7" t="str">
        <f t="array" ref="J26">IFERROR(INDEX(Base_Estudiantes!$H$4:$H$505,MATCH(D26,Base_Estudiantes!$C$4:$C$505,0)),"")</f>
        <v/>
      </c>
      <c r="K26" s="5"/>
      <c r="L26" s="5"/>
      <c r="M26" s="5"/>
      <c r="N26" s="5"/>
      <c r="O26" s="5"/>
      <c r="P26" s="5"/>
      <c r="Q26" s="5"/>
      <c r="R26" s="20"/>
      <c r="S26" s="5"/>
      <c r="T26" s="5"/>
    </row>
    <row r="27" spans="1:20" ht="15.75" customHeight="1">
      <c r="A27" s="19" t="str">
        <f t="shared" si="0"/>
        <v/>
      </c>
      <c r="B27" s="6"/>
      <c r="C27" s="20"/>
      <c r="D27" s="5"/>
      <c r="E27" s="7" t="str">
        <f t="array" ref="E27">IFERROR(INDEX(Base_Estudiantes!$A$4:$A$505,MATCH(D27,Base_Estudiantes!$C$4:$C$505,0)),"")</f>
        <v/>
      </c>
      <c r="F27" s="7" t="str">
        <f t="array" ref="F27">IFERROR(INDEX(Base_Estudiantes!$B$4:$B$505,MATCH(D27,Base_Estudiantes!$C$4:$C$505,0)),"")</f>
        <v/>
      </c>
      <c r="G27" s="7" t="str">
        <f t="array" ref="G27">IFERROR(INDEX(Base_Estudiantes!$D$4:$D$505,MATCH(D27,Base_Estudiantes!$C$4:$C$505,0)),"")</f>
        <v/>
      </c>
      <c r="H27" s="7" t="str">
        <f t="array" ref="H27">IFERROR(INDEX(Base_Estudiantes!$F$4:$F$505,MATCH(D27,Base_Estudiantes!$C$4:$C$505,0)),"")</f>
        <v/>
      </c>
      <c r="I27" s="7" t="str">
        <f t="array" ref="I27">IFERROR(INDEX(Base_Estudiantes!$G$4:$G$505,MATCH(D27,Base_Estudiantes!$C$4:$C$505,0)),"")</f>
        <v/>
      </c>
      <c r="J27" s="7" t="str">
        <f t="array" ref="J27">IFERROR(INDEX(Base_Estudiantes!$H$4:$H$505,MATCH(D27,Base_Estudiantes!$C$4:$C$505,0)),"")</f>
        <v/>
      </c>
      <c r="K27" s="5"/>
      <c r="L27" s="5"/>
      <c r="M27" s="5"/>
      <c r="N27" s="5"/>
      <c r="O27" s="5"/>
      <c r="P27" s="5"/>
      <c r="Q27" s="5"/>
      <c r="R27" s="20"/>
      <c r="S27" s="5"/>
      <c r="T27" s="5"/>
    </row>
    <row r="28" spans="1:20" ht="15.75" customHeight="1">
      <c r="A28" s="19" t="str">
        <f t="shared" si="0"/>
        <v/>
      </c>
      <c r="B28" s="6"/>
      <c r="C28" s="20"/>
      <c r="D28" s="5"/>
      <c r="E28" s="7" t="str">
        <f t="array" ref="E28">IFERROR(INDEX(Base_Estudiantes!$A$4:$A$505,MATCH(D28,Base_Estudiantes!$C$4:$C$505,0)),"")</f>
        <v/>
      </c>
      <c r="F28" s="7" t="str">
        <f t="array" ref="F28">IFERROR(INDEX(Base_Estudiantes!$B$4:$B$505,MATCH(D28,Base_Estudiantes!$C$4:$C$505,0)),"")</f>
        <v/>
      </c>
      <c r="G28" s="7" t="str">
        <f t="array" ref="G28">IFERROR(INDEX(Base_Estudiantes!$D$4:$D$505,MATCH(D28,Base_Estudiantes!$C$4:$C$505,0)),"")</f>
        <v/>
      </c>
      <c r="H28" s="7" t="str">
        <f t="array" ref="H28">IFERROR(INDEX(Base_Estudiantes!$F$4:$F$505,MATCH(D28,Base_Estudiantes!$C$4:$C$505,0)),"")</f>
        <v/>
      </c>
      <c r="I28" s="7" t="str">
        <f t="array" ref="I28">IFERROR(INDEX(Base_Estudiantes!$G$4:$G$505,MATCH(D28,Base_Estudiantes!$C$4:$C$505,0)),"")</f>
        <v/>
      </c>
      <c r="J28" s="7" t="str">
        <f t="array" ref="J28">IFERROR(INDEX(Base_Estudiantes!$H$4:$H$505,MATCH(D28,Base_Estudiantes!$C$4:$C$505,0)),"")</f>
        <v/>
      </c>
      <c r="K28" s="5"/>
      <c r="L28" s="5"/>
      <c r="M28" s="5"/>
      <c r="N28" s="5"/>
      <c r="O28" s="5"/>
      <c r="P28" s="5"/>
      <c r="Q28" s="5"/>
      <c r="R28" s="20"/>
      <c r="S28" s="5"/>
      <c r="T28" s="5"/>
    </row>
    <row r="29" spans="1:20" ht="15.75" customHeight="1">
      <c r="A29" s="19" t="str">
        <f t="shared" si="0"/>
        <v/>
      </c>
      <c r="B29" s="6"/>
      <c r="C29" s="20"/>
      <c r="D29" s="5"/>
      <c r="E29" s="7" t="str">
        <f t="array" ref="E29">IFERROR(INDEX(Base_Estudiantes!$A$4:$A$505,MATCH(D29,Base_Estudiantes!$C$4:$C$505,0)),"")</f>
        <v/>
      </c>
      <c r="F29" s="7" t="str">
        <f t="array" ref="F29">IFERROR(INDEX(Base_Estudiantes!$B$4:$B$505,MATCH(D29,Base_Estudiantes!$C$4:$C$505,0)),"")</f>
        <v/>
      </c>
      <c r="G29" s="7" t="str">
        <f t="array" ref="G29">IFERROR(INDEX(Base_Estudiantes!$D$4:$D$505,MATCH(D29,Base_Estudiantes!$C$4:$C$505,0)),"")</f>
        <v/>
      </c>
      <c r="H29" s="7" t="str">
        <f t="array" ref="H29">IFERROR(INDEX(Base_Estudiantes!$F$4:$F$505,MATCH(D29,Base_Estudiantes!$C$4:$C$505,0)),"")</f>
        <v/>
      </c>
      <c r="I29" s="7" t="str">
        <f t="array" ref="I29">IFERROR(INDEX(Base_Estudiantes!$G$4:$G$505,MATCH(D29,Base_Estudiantes!$C$4:$C$505,0)),"")</f>
        <v/>
      </c>
      <c r="J29" s="7" t="str">
        <f t="array" ref="J29">IFERROR(INDEX(Base_Estudiantes!$H$4:$H$505,MATCH(D29,Base_Estudiantes!$C$4:$C$505,0)),"")</f>
        <v/>
      </c>
      <c r="K29" s="5"/>
      <c r="L29" s="5"/>
      <c r="M29" s="5"/>
      <c r="N29" s="5"/>
      <c r="O29" s="5"/>
      <c r="P29" s="5"/>
      <c r="Q29" s="5"/>
      <c r="R29" s="20"/>
      <c r="S29" s="5"/>
      <c r="T29" s="5"/>
    </row>
    <row r="30" spans="1:20" ht="15.75" customHeight="1">
      <c r="A30" s="19" t="str">
        <f t="shared" si="0"/>
        <v/>
      </c>
      <c r="B30" s="6"/>
      <c r="C30" s="20"/>
      <c r="D30" s="5"/>
      <c r="E30" s="7" t="str">
        <f t="array" ref="E30">IFERROR(INDEX(Base_Estudiantes!$A$4:$A$505,MATCH(D30,Base_Estudiantes!$C$4:$C$505,0)),"")</f>
        <v/>
      </c>
      <c r="F30" s="7" t="str">
        <f t="array" ref="F30">IFERROR(INDEX(Base_Estudiantes!$B$4:$B$505,MATCH(D30,Base_Estudiantes!$C$4:$C$505,0)),"")</f>
        <v/>
      </c>
      <c r="G30" s="7" t="str">
        <f t="array" ref="G30">IFERROR(INDEX(Base_Estudiantes!$D$4:$D$505,MATCH(D30,Base_Estudiantes!$C$4:$C$505,0)),"")</f>
        <v/>
      </c>
      <c r="H30" s="7" t="str">
        <f t="array" ref="H30">IFERROR(INDEX(Base_Estudiantes!$F$4:$F$505,MATCH(D30,Base_Estudiantes!$C$4:$C$505,0)),"")</f>
        <v/>
      </c>
      <c r="I30" s="7" t="str">
        <f t="array" ref="I30">IFERROR(INDEX(Base_Estudiantes!$G$4:$G$505,MATCH(D30,Base_Estudiantes!$C$4:$C$505,0)),"")</f>
        <v/>
      </c>
      <c r="J30" s="7" t="str">
        <f t="array" ref="J30">IFERROR(INDEX(Base_Estudiantes!$H$4:$H$505,MATCH(D30,Base_Estudiantes!$C$4:$C$505,0)),"")</f>
        <v/>
      </c>
      <c r="K30" s="5"/>
      <c r="L30" s="5"/>
      <c r="M30" s="5"/>
      <c r="N30" s="5"/>
      <c r="O30" s="5"/>
      <c r="P30" s="5"/>
      <c r="Q30" s="5"/>
      <c r="R30" s="20"/>
      <c r="S30" s="5"/>
      <c r="T30" s="5"/>
    </row>
    <row r="31" spans="1:20" ht="15.75" customHeight="1">
      <c r="A31" s="19" t="str">
        <f t="shared" si="0"/>
        <v/>
      </c>
      <c r="B31" s="6"/>
      <c r="C31" s="20"/>
      <c r="D31" s="5"/>
      <c r="E31" s="7" t="str">
        <f t="array" ref="E31">IFERROR(INDEX(Base_Estudiantes!$A$4:$A$505,MATCH(D31,Base_Estudiantes!$C$4:$C$505,0)),"")</f>
        <v/>
      </c>
      <c r="F31" s="7" t="str">
        <f t="array" ref="F31">IFERROR(INDEX(Base_Estudiantes!$B$4:$B$505,MATCH(D31,Base_Estudiantes!$C$4:$C$505,0)),"")</f>
        <v/>
      </c>
      <c r="G31" s="7" t="str">
        <f t="array" ref="G31">IFERROR(INDEX(Base_Estudiantes!$D$4:$D$505,MATCH(D31,Base_Estudiantes!$C$4:$C$505,0)),"")</f>
        <v/>
      </c>
      <c r="H31" s="7" t="str">
        <f t="array" ref="H31">IFERROR(INDEX(Base_Estudiantes!$F$4:$F$505,MATCH(D31,Base_Estudiantes!$C$4:$C$505,0)),"")</f>
        <v/>
      </c>
      <c r="I31" s="7" t="str">
        <f t="array" ref="I31">IFERROR(INDEX(Base_Estudiantes!$G$4:$G$505,MATCH(D31,Base_Estudiantes!$C$4:$C$505,0)),"")</f>
        <v/>
      </c>
      <c r="J31" s="7" t="str">
        <f t="array" ref="J31">IFERROR(INDEX(Base_Estudiantes!$H$4:$H$505,MATCH(D31,Base_Estudiantes!$C$4:$C$505,0)),"")</f>
        <v/>
      </c>
      <c r="K31" s="5"/>
      <c r="L31" s="5"/>
      <c r="M31" s="5"/>
      <c r="N31" s="5"/>
      <c r="O31" s="5"/>
      <c r="P31" s="5"/>
      <c r="Q31" s="5"/>
      <c r="R31" s="20"/>
      <c r="S31" s="5"/>
      <c r="T31" s="5"/>
    </row>
    <row r="32" spans="1:20" ht="15.75" customHeight="1">
      <c r="A32" s="19" t="str">
        <f t="shared" si="0"/>
        <v/>
      </c>
      <c r="B32" s="6"/>
      <c r="C32" s="20"/>
      <c r="D32" s="5"/>
      <c r="E32" s="7" t="str">
        <f t="array" ref="E32">IFERROR(INDEX(Base_Estudiantes!$A$4:$A$505,MATCH(D32,Base_Estudiantes!$C$4:$C$505,0)),"")</f>
        <v/>
      </c>
      <c r="F32" s="7" t="str">
        <f t="array" ref="F32">IFERROR(INDEX(Base_Estudiantes!$B$4:$B$505,MATCH(D32,Base_Estudiantes!$C$4:$C$505,0)),"")</f>
        <v/>
      </c>
      <c r="G32" s="7" t="str">
        <f t="array" ref="G32">IFERROR(INDEX(Base_Estudiantes!$D$4:$D$505,MATCH(D32,Base_Estudiantes!$C$4:$C$505,0)),"")</f>
        <v/>
      </c>
      <c r="H32" s="7" t="str">
        <f t="array" ref="H32">IFERROR(INDEX(Base_Estudiantes!$F$4:$F$505,MATCH(D32,Base_Estudiantes!$C$4:$C$505,0)),"")</f>
        <v/>
      </c>
      <c r="I32" s="7" t="str">
        <f t="array" ref="I32">IFERROR(INDEX(Base_Estudiantes!$G$4:$G$505,MATCH(D32,Base_Estudiantes!$C$4:$C$505,0)),"")</f>
        <v/>
      </c>
      <c r="J32" s="7" t="str">
        <f t="array" ref="J32">IFERROR(INDEX(Base_Estudiantes!$H$4:$H$505,MATCH(D32,Base_Estudiantes!$C$4:$C$505,0)),"")</f>
        <v/>
      </c>
      <c r="K32" s="5"/>
      <c r="L32" s="5"/>
      <c r="M32" s="5"/>
      <c r="N32" s="5"/>
      <c r="O32" s="5"/>
      <c r="P32" s="5"/>
      <c r="Q32" s="5"/>
      <c r="R32" s="20"/>
      <c r="S32" s="5"/>
      <c r="T32" s="5"/>
    </row>
    <row r="33" spans="1:20" ht="15.75" customHeight="1">
      <c r="A33" s="19" t="str">
        <f t="shared" si="0"/>
        <v/>
      </c>
      <c r="B33" s="6"/>
      <c r="C33" s="20"/>
      <c r="D33" s="5"/>
      <c r="E33" s="7" t="str">
        <f t="array" ref="E33">IFERROR(INDEX(Base_Estudiantes!$A$4:$A$505,MATCH(D33,Base_Estudiantes!$C$4:$C$505,0)),"")</f>
        <v/>
      </c>
      <c r="F33" s="7" t="str">
        <f t="array" ref="F33">IFERROR(INDEX(Base_Estudiantes!$B$4:$B$505,MATCH(D33,Base_Estudiantes!$C$4:$C$505,0)),"")</f>
        <v/>
      </c>
      <c r="G33" s="7" t="str">
        <f t="array" ref="G33">IFERROR(INDEX(Base_Estudiantes!$D$4:$D$505,MATCH(D33,Base_Estudiantes!$C$4:$C$505,0)),"")</f>
        <v/>
      </c>
      <c r="H33" s="7" t="str">
        <f t="array" ref="H33">IFERROR(INDEX(Base_Estudiantes!$F$4:$F$505,MATCH(D33,Base_Estudiantes!$C$4:$C$505,0)),"")</f>
        <v/>
      </c>
      <c r="I33" s="7" t="str">
        <f t="array" ref="I33">IFERROR(INDEX(Base_Estudiantes!$G$4:$G$505,MATCH(D33,Base_Estudiantes!$C$4:$C$505,0)),"")</f>
        <v/>
      </c>
      <c r="J33" s="7" t="str">
        <f t="array" ref="J33">IFERROR(INDEX(Base_Estudiantes!$H$4:$H$505,MATCH(D33,Base_Estudiantes!$C$4:$C$505,0)),"")</f>
        <v/>
      </c>
      <c r="K33" s="5"/>
      <c r="L33" s="5"/>
      <c r="M33" s="5"/>
      <c r="N33" s="5"/>
      <c r="O33" s="5"/>
      <c r="P33" s="5"/>
      <c r="Q33" s="5"/>
      <c r="R33" s="20"/>
      <c r="S33" s="5"/>
      <c r="T33" s="5"/>
    </row>
    <row r="34" spans="1:20" ht="15.75" customHeight="1">
      <c r="A34" s="19" t="str">
        <f t="shared" si="0"/>
        <v/>
      </c>
      <c r="B34" s="6"/>
      <c r="C34" s="20"/>
      <c r="D34" s="5"/>
      <c r="E34" s="7" t="str">
        <f t="array" ref="E34">IFERROR(INDEX(Base_Estudiantes!$A$4:$A$505,MATCH(D34,Base_Estudiantes!$C$4:$C$505,0)),"")</f>
        <v/>
      </c>
      <c r="F34" s="7" t="str">
        <f t="array" ref="F34">IFERROR(INDEX(Base_Estudiantes!$B$4:$B$505,MATCH(D34,Base_Estudiantes!$C$4:$C$505,0)),"")</f>
        <v/>
      </c>
      <c r="G34" s="7" t="str">
        <f t="array" ref="G34">IFERROR(INDEX(Base_Estudiantes!$D$4:$D$505,MATCH(D34,Base_Estudiantes!$C$4:$C$505,0)),"")</f>
        <v/>
      </c>
      <c r="H34" s="7" t="str">
        <f t="array" ref="H34">IFERROR(INDEX(Base_Estudiantes!$F$4:$F$505,MATCH(D34,Base_Estudiantes!$C$4:$C$505,0)),"")</f>
        <v/>
      </c>
      <c r="I34" s="7" t="str">
        <f t="array" ref="I34">IFERROR(INDEX(Base_Estudiantes!$G$4:$G$505,MATCH(D34,Base_Estudiantes!$C$4:$C$505,0)),"")</f>
        <v/>
      </c>
      <c r="J34" s="7" t="str">
        <f t="array" ref="J34">IFERROR(INDEX(Base_Estudiantes!$H$4:$H$505,MATCH(D34,Base_Estudiantes!$C$4:$C$505,0)),"")</f>
        <v/>
      </c>
      <c r="K34" s="5"/>
      <c r="L34" s="5"/>
      <c r="M34" s="5"/>
      <c r="N34" s="5"/>
      <c r="O34" s="5"/>
      <c r="P34" s="5"/>
      <c r="Q34" s="5"/>
      <c r="R34" s="20"/>
      <c r="S34" s="5"/>
      <c r="T34" s="5"/>
    </row>
    <row r="35" spans="1:20" ht="15.75" customHeight="1">
      <c r="A35" s="19" t="str">
        <f t="shared" si="0"/>
        <v/>
      </c>
      <c r="B35" s="6"/>
      <c r="C35" s="20"/>
      <c r="D35" s="5"/>
      <c r="E35" s="7" t="str">
        <f t="array" ref="E35">IFERROR(INDEX(Base_Estudiantes!$A$4:$A$505,MATCH(D35,Base_Estudiantes!$C$4:$C$505,0)),"")</f>
        <v/>
      </c>
      <c r="F35" s="7" t="str">
        <f t="array" ref="F35">IFERROR(INDEX(Base_Estudiantes!$B$4:$B$505,MATCH(D35,Base_Estudiantes!$C$4:$C$505,0)),"")</f>
        <v/>
      </c>
      <c r="G35" s="7" t="str">
        <f t="array" ref="G35">IFERROR(INDEX(Base_Estudiantes!$D$4:$D$505,MATCH(D35,Base_Estudiantes!$C$4:$C$505,0)),"")</f>
        <v/>
      </c>
      <c r="H35" s="7" t="str">
        <f t="array" ref="H35">IFERROR(INDEX(Base_Estudiantes!$F$4:$F$505,MATCH(D35,Base_Estudiantes!$C$4:$C$505,0)),"")</f>
        <v/>
      </c>
      <c r="I35" s="7" t="str">
        <f t="array" ref="I35">IFERROR(INDEX(Base_Estudiantes!$G$4:$G$505,MATCH(D35,Base_Estudiantes!$C$4:$C$505,0)),"")</f>
        <v/>
      </c>
      <c r="J35" s="7" t="str">
        <f t="array" ref="J35">IFERROR(INDEX(Base_Estudiantes!$H$4:$H$505,MATCH(D35,Base_Estudiantes!$C$4:$C$505,0)),"")</f>
        <v/>
      </c>
      <c r="K35" s="5"/>
      <c r="L35" s="5"/>
      <c r="M35" s="5"/>
      <c r="N35" s="5"/>
      <c r="O35" s="5"/>
      <c r="P35" s="5"/>
      <c r="Q35" s="5"/>
      <c r="R35" s="20"/>
      <c r="S35" s="5"/>
      <c r="T35" s="5"/>
    </row>
    <row r="36" spans="1:20" ht="15.75" customHeight="1">
      <c r="A36" s="19" t="str">
        <f t="shared" si="0"/>
        <v/>
      </c>
      <c r="B36" s="6"/>
      <c r="C36" s="20"/>
      <c r="D36" s="5"/>
      <c r="E36" s="7" t="str">
        <f t="array" ref="E36">IFERROR(INDEX(Base_Estudiantes!$A$4:$A$505,MATCH(D36,Base_Estudiantes!$C$4:$C$505,0)),"")</f>
        <v/>
      </c>
      <c r="F36" s="7" t="str">
        <f t="array" ref="F36">IFERROR(INDEX(Base_Estudiantes!$B$4:$B$505,MATCH(D36,Base_Estudiantes!$C$4:$C$505,0)),"")</f>
        <v/>
      </c>
      <c r="G36" s="7" t="str">
        <f t="array" ref="G36">IFERROR(INDEX(Base_Estudiantes!$D$4:$D$505,MATCH(D36,Base_Estudiantes!$C$4:$C$505,0)),"")</f>
        <v/>
      </c>
      <c r="H36" s="7" t="str">
        <f t="array" ref="H36">IFERROR(INDEX(Base_Estudiantes!$F$4:$F$505,MATCH(D36,Base_Estudiantes!$C$4:$C$505,0)),"")</f>
        <v/>
      </c>
      <c r="I36" s="7" t="str">
        <f t="array" ref="I36">IFERROR(INDEX(Base_Estudiantes!$G$4:$G$505,MATCH(D36,Base_Estudiantes!$C$4:$C$505,0)),"")</f>
        <v/>
      </c>
      <c r="J36" s="7" t="str">
        <f t="array" ref="J36">IFERROR(INDEX(Base_Estudiantes!$H$4:$H$505,MATCH(D36,Base_Estudiantes!$C$4:$C$505,0)),"")</f>
        <v/>
      </c>
      <c r="K36" s="5"/>
      <c r="L36" s="5"/>
      <c r="M36" s="5"/>
      <c r="N36" s="5"/>
      <c r="O36" s="5"/>
      <c r="P36" s="5"/>
      <c r="Q36" s="5"/>
      <c r="R36" s="20"/>
      <c r="S36" s="5"/>
      <c r="T36" s="5"/>
    </row>
    <row r="37" spans="1:20" ht="15.75" customHeight="1">
      <c r="A37" s="19" t="str">
        <f t="shared" si="0"/>
        <v/>
      </c>
      <c r="B37" s="6"/>
      <c r="C37" s="20"/>
      <c r="D37" s="5"/>
      <c r="E37" s="7" t="str">
        <f t="array" ref="E37">IFERROR(INDEX(Base_Estudiantes!$A$4:$A$505,MATCH(D37,Base_Estudiantes!$C$4:$C$505,0)),"")</f>
        <v/>
      </c>
      <c r="F37" s="7" t="str">
        <f t="array" ref="F37">IFERROR(INDEX(Base_Estudiantes!$B$4:$B$505,MATCH(D37,Base_Estudiantes!$C$4:$C$505,0)),"")</f>
        <v/>
      </c>
      <c r="G37" s="7" t="str">
        <f t="array" ref="G37">IFERROR(INDEX(Base_Estudiantes!$D$4:$D$505,MATCH(D37,Base_Estudiantes!$C$4:$C$505,0)),"")</f>
        <v/>
      </c>
      <c r="H37" s="7" t="str">
        <f t="array" ref="H37">IFERROR(INDEX(Base_Estudiantes!$F$4:$F$505,MATCH(D37,Base_Estudiantes!$C$4:$C$505,0)),"")</f>
        <v/>
      </c>
      <c r="I37" s="7" t="str">
        <f t="array" ref="I37">IFERROR(INDEX(Base_Estudiantes!$G$4:$G$505,MATCH(D37,Base_Estudiantes!$C$4:$C$505,0)),"")</f>
        <v/>
      </c>
      <c r="J37" s="7" t="str">
        <f t="array" ref="J37">IFERROR(INDEX(Base_Estudiantes!$H$4:$H$505,MATCH(D37,Base_Estudiantes!$C$4:$C$505,0)),"")</f>
        <v/>
      </c>
      <c r="K37" s="5"/>
      <c r="L37" s="5"/>
      <c r="M37" s="5"/>
      <c r="N37" s="5"/>
      <c r="O37" s="5"/>
      <c r="P37" s="5"/>
      <c r="Q37" s="5"/>
      <c r="R37" s="20"/>
      <c r="S37" s="5"/>
      <c r="T37" s="5"/>
    </row>
    <row r="38" spans="1:20" ht="15.75" customHeight="1">
      <c r="A38" s="19" t="str">
        <f t="shared" si="0"/>
        <v/>
      </c>
      <c r="B38" s="6"/>
      <c r="C38" s="20"/>
      <c r="D38" s="5"/>
      <c r="E38" s="7" t="str">
        <f t="array" ref="E38">IFERROR(INDEX(Base_Estudiantes!$A$4:$A$505,MATCH(D38,Base_Estudiantes!$C$4:$C$505,0)),"")</f>
        <v/>
      </c>
      <c r="F38" s="7" t="str">
        <f t="array" ref="F38">IFERROR(INDEX(Base_Estudiantes!$B$4:$B$505,MATCH(D38,Base_Estudiantes!$C$4:$C$505,0)),"")</f>
        <v/>
      </c>
      <c r="G38" s="7" t="str">
        <f t="array" ref="G38">IFERROR(INDEX(Base_Estudiantes!$D$4:$D$505,MATCH(D38,Base_Estudiantes!$C$4:$C$505,0)),"")</f>
        <v/>
      </c>
      <c r="H38" s="7" t="str">
        <f t="array" ref="H38">IFERROR(INDEX(Base_Estudiantes!$F$4:$F$505,MATCH(D38,Base_Estudiantes!$C$4:$C$505,0)),"")</f>
        <v/>
      </c>
      <c r="I38" s="7" t="str">
        <f t="array" ref="I38">IFERROR(INDEX(Base_Estudiantes!$G$4:$G$505,MATCH(D38,Base_Estudiantes!$C$4:$C$505,0)),"")</f>
        <v/>
      </c>
      <c r="J38" s="7" t="str">
        <f t="array" ref="J38">IFERROR(INDEX(Base_Estudiantes!$H$4:$H$505,MATCH(D38,Base_Estudiantes!$C$4:$C$505,0)),"")</f>
        <v/>
      </c>
      <c r="K38" s="5"/>
      <c r="L38" s="5"/>
      <c r="M38" s="5"/>
      <c r="N38" s="5"/>
      <c r="O38" s="5"/>
      <c r="P38" s="5"/>
      <c r="Q38" s="5"/>
      <c r="R38" s="20"/>
      <c r="S38" s="5"/>
      <c r="T38" s="5"/>
    </row>
    <row r="39" spans="1:20" ht="15.75" customHeight="1">
      <c r="A39" s="19" t="str">
        <f t="shared" si="0"/>
        <v/>
      </c>
      <c r="B39" s="6"/>
      <c r="C39" s="20"/>
      <c r="D39" s="5"/>
      <c r="E39" s="7" t="str">
        <f t="array" ref="E39">IFERROR(INDEX(Base_Estudiantes!$A$4:$A$505,MATCH(D39,Base_Estudiantes!$C$4:$C$505,0)),"")</f>
        <v/>
      </c>
      <c r="F39" s="7" t="str">
        <f t="array" ref="F39">IFERROR(INDEX(Base_Estudiantes!$B$4:$B$505,MATCH(D39,Base_Estudiantes!$C$4:$C$505,0)),"")</f>
        <v/>
      </c>
      <c r="G39" s="7" t="str">
        <f t="array" ref="G39">IFERROR(INDEX(Base_Estudiantes!$D$4:$D$505,MATCH(D39,Base_Estudiantes!$C$4:$C$505,0)),"")</f>
        <v/>
      </c>
      <c r="H39" s="7" t="str">
        <f t="array" ref="H39">IFERROR(INDEX(Base_Estudiantes!$F$4:$F$505,MATCH(D39,Base_Estudiantes!$C$4:$C$505,0)),"")</f>
        <v/>
      </c>
      <c r="I39" s="7" t="str">
        <f t="array" ref="I39">IFERROR(INDEX(Base_Estudiantes!$G$4:$G$505,MATCH(D39,Base_Estudiantes!$C$4:$C$505,0)),"")</f>
        <v/>
      </c>
      <c r="J39" s="7" t="str">
        <f t="array" ref="J39">IFERROR(INDEX(Base_Estudiantes!$H$4:$H$505,MATCH(D39,Base_Estudiantes!$C$4:$C$505,0)),"")</f>
        <v/>
      </c>
      <c r="K39" s="5"/>
      <c r="L39" s="5"/>
      <c r="M39" s="5"/>
      <c r="N39" s="5"/>
      <c r="O39" s="5"/>
      <c r="P39" s="5"/>
      <c r="Q39" s="5"/>
      <c r="R39" s="20"/>
      <c r="S39" s="5"/>
      <c r="T39" s="5"/>
    </row>
    <row r="40" spans="1:20" ht="15.75" customHeight="1">
      <c r="A40" s="19" t="str">
        <f t="shared" si="0"/>
        <v/>
      </c>
      <c r="B40" s="6"/>
      <c r="C40" s="20"/>
      <c r="D40" s="5"/>
      <c r="E40" s="7" t="str">
        <f t="array" ref="E40">IFERROR(INDEX(Base_Estudiantes!$A$4:$A$505,MATCH(D40,Base_Estudiantes!$C$4:$C$505,0)),"")</f>
        <v/>
      </c>
      <c r="F40" s="7" t="str">
        <f t="array" ref="F40">IFERROR(INDEX(Base_Estudiantes!$B$4:$B$505,MATCH(D40,Base_Estudiantes!$C$4:$C$505,0)),"")</f>
        <v/>
      </c>
      <c r="G40" s="7" t="str">
        <f t="array" ref="G40">IFERROR(INDEX(Base_Estudiantes!$D$4:$D$505,MATCH(D40,Base_Estudiantes!$C$4:$C$505,0)),"")</f>
        <v/>
      </c>
      <c r="H40" s="7" t="str">
        <f t="array" ref="H40">IFERROR(INDEX(Base_Estudiantes!$F$4:$F$505,MATCH(D40,Base_Estudiantes!$C$4:$C$505,0)),"")</f>
        <v/>
      </c>
      <c r="I40" s="7" t="str">
        <f t="array" ref="I40">IFERROR(INDEX(Base_Estudiantes!$G$4:$G$505,MATCH(D40,Base_Estudiantes!$C$4:$C$505,0)),"")</f>
        <v/>
      </c>
      <c r="J40" s="7" t="str">
        <f t="array" ref="J40">IFERROR(INDEX(Base_Estudiantes!$H$4:$H$505,MATCH(D40,Base_Estudiantes!$C$4:$C$505,0)),"")</f>
        <v/>
      </c>
      <c r="K40" s="5"/>
      <c r="L40" s="5"/>
      <c r="M40" s="5"/>
      <c r="N40" s="5"/>
      <c r="O40" s="5"/>
      <c r="P40" s="5"/>
      <c r="Q40" s="5"/>
      <c r="R40" s="20"/>
      <c r="S40" s="5"/>
      <c r="T40" s="5"/>
    </row>
    <row r="41" spans="1:20" ht="15.75" customHeight="1">
      <c r="A41" s="19" t="str">
        <f t="shared" si="0"/>
        <v/>
      </c>
      <c r="B41" s="6"/>
      <c r="C41" s="20"/>
      <c r="D41" s="5"/>
      <c r="E41" s="7" t="str">
        <f t="array" ref="E41">IFERROR(INDEX(Base_Estudiantes!$A$4:$A$505,MATCH(D41,Base_Estudiantes!$C$4:$C$505,0)),"")</f>
        <v/>
      </c>
      <c r="F41" s="7" t="str">
        <f t="array" ref="F41">IFERROR(INDEX(Base_Estudiantes!$B$4:$B$505,MATCH(D41,Base_Estudiantes!$C$4:$C$505,0)),"")</f>
        <v/>
      </c>
      <c r="G41" s="7" t="str">
        <f t="array" ref="G41">IFERROR(INDEX(Base_Estudiantes!$D$4:$D$505,MATCH(D41,Base_Estudiantes!$C$4:$C$505,0)),"")</f>
        <v/>
      </c>
      <c r="H41" s="7" t="str">
        <f t="array" ref="H41">IFERROR(INDEX(Base_Estudiantes!$F$4:$F$505,MATCH(D41,Base_Estudiantes!$C$4:$C$505,0)),"")</f>
        <v/>
      </c>
      <c r="I41" s="7" t="str">
        <f t="array" ref="I41">IFERROR(INDEX(Base_Estudiantes!$G$4:$G$505,MATCH(D41,Base_Estudiantes!$C$4:$C$505,0)),"")</f>
        <v/>
      </c>
      <c r="J41" s="7" t="str">
        <f t="array" ref="J41">IFERROR(INDEX(Base_Estudiantes!$H$4:$H$505,MATCH(D41,Base_Estudiantes!$C$4:$C$505,0)),"")</f>
        <v/>
      </c>
      <c r="K41" s="5"/>
      <c r="L41" s="5"/>
      <c r="M41" s="5"/>
      <c r="N41" s="5"/>
      <c r="O41" s="5"/>
      <c r="P41" s="5"/>
      <c r="Q41" s="5"/>
      <c r="R41" s="20"/>
      <c r="S41" s="5"/>
      <c r="T41" s="5"/>
    </row>
    <row r="42" spans="1:20" ht="15.75" customHeight="1">
      <c r="A42" s="19" t="str">
        <f t="shared" si="0"/>
        <v/>
      </c>
      <c r="B42" s="6"/>
      <c r="C42" s="20"/>
      <c r="D42" s="5"/>
      <c r="E42" s="7" t="str">
        <f t="array" ref="E42">IFERROR(INDEX(Base_Estudiantes!$A$4:$A$505,MATCH(D42,Base_Estudiantes!$C$4:$C$505,0)),"")</f>
        <v/>
      </c>
      <c r="F42" s="7" t="str">
        <f t="array" ref="F42">IFERROR(INDEX(Base_Estudiantes!$B$4:$B$505,MATCH(D42,Base_Estudiantes!$C$4:$C$505,0)),"")</f>
        <v/>
      </c>
      <c r="G42" s="7" t="str">
        <f t="array" ref="G42">IFERROR(INDEX(Base_Estudiantes!$D$4:$D$505,MATCH(D42,Base_Estudiantes!$C$4:$C$505,0)),"")</f>
        <v/>
      </c>
      <c r="H42" s="7" t="str">
        <f t="array" ref="H42">IFERROR(INDEX(Base_Estudiantes!$F$4:$F$505,MATCH(D42,Base_Estudiantes!$C$4:$C$505,0)),"")</f>
        <v/>
      </c>
      <c r="I42" s="7" t="str">
        <f t="array" ref="I42">IFERROR(INDEX(Base_Estudiantes!$G$4:$G$505,MATCH(D42,Base_Estudiantes!$C$4:$C$505,0)),"")</f>
        <v/>
      </c>
      <c r="J42" s="7" t="str">
        <f t="array" ref="J42">IFERROR(INDEX(Base_Estudiantes!$H$4:$H$505,MATCH(D42,Base_Estudiantes!$C$4:$C$505,0)),"")</f>
        <v/>
      </c>
      <c r="K42" s="5"/>
      <c r="L42" s="5"/>
      <c r="M42" s="5"/>
      <c r="N42" s="5"/>
      <c r="O42" s="5"/>
      <c r="P42" s="5"/>
      <c r="Q42" s="5"/>
      <c r="R42" s="20"/>
      <c r="S42" s="5"/>
      <c r="T42" s="5"/>
    </row>
    <row r="43" spans="1:20" ht="15.75" customHeight="1">
      <c r="A43" s="19" t="str">
        <f t="shared" si="0"/>
        <v/>
      </c>
      <c r="B43" s="6"/>
      <c r="C43" s="20"/>
      <c r="D43" s="5"/>
      <c r="E43" s="7" t="str">
        <f t="array" ref="E43">IFERROR(INDEX(Base_Estudiantes!$A$4:$A$505,MATCH(D43,Base_Estudiantes!$C$4:$C$505,0)),"")</f>
        <v/>
      </c>
      <c r="F43" s="7" t="str">
        <f t="array" ref="F43">IFERROR(INDEX(Base_Estudiantes!$B$4:$B$505,MATCH(D43,Base_Estudiantes!$C$4:$C$505,0)),"")</f>
        <v/>
      </c>
      <c r="G43" s="7" t="str">
        <f t="array" ref="G43">IFERROR(INDEX(Base_Estudiantes!$D$4:$D$505,MATCH(D43,Base_Estudiantes!$C$4:$C$505,0)),"")</f>
        <v/>
      </c>
      <c r="H43" s="7" t="str">
        <f t="array" ref="H43">IFERROR(INDEX(Base_Estudiantes!$F$4:$F$505,MATCH(D43,Base_Estudiantes!$C$4:$C$505,0)),"")</f>
        <v/>
      </c>
      <c r="I43" s="7" t="str">
        <f t="array" ref="I43">IFERROR(INDEX(Base_Estudiantes!$G$4:$G$505,MATCH(D43,Base_Estudiantes!$C$4:$C$505,0)),"")</f>
        <v/>
      </c>
      <c r="J43" s="7" t="str">
        <f t="array" ref="J43">IFERROR(INDEX(Base_Estudiantes!$H$4:$H$505,MATCH(D43,Base_Estudiantes!$C$4:$C$505,0)),"")</f>
        <v/>
      </c>
      <c r="K43" s="5"/>
      <c r="L43" s="5"/>
      <c r="M43" s="5"/>
      <c r="N43" s="5"/>
      <c r="O43" s="5"/>
      <c r="P43" s="5"/>
      <c r="Q43" s="5"/>
      <c r="R43" s="20"/>
      <c r="S43" s="5"/>
      <c r="T43" s="5"/>
    </row>
    <row r="44" spans="1:20" ht="15.75" customHeight="1">
      <c r="A44" s="19" t="str">
        <f t="shared" si="0"/>
        <v/>
      </c>
      <c r="B44" s="6"/>
      <c r="C44" s="20"/>
      <c r="D44" s="5"/>
      <c r="E44" s="7" t="str">
        <f t="array" ref="E44">IFERROR(INDEX(Base_Estudiantes!$A$4:$A$505,MATCH(D44,Base_Estudiantes!$C$4:$C$505,0)),"")</f>
        <v/>
      </c>
      <c r="F44" s="7" t="str">
        <f t="array" ref="F44">IFERROR(INDEX(Base_Estudiantes!$B$4:$B$505,MATCH(D44,Base_Estudiantes!$C$4:$C$505,0)),"")</f>
        <v/>
      </c>
      <c r="G44" s="7" t="str">
        <f t="array" ref="G44">IFERROR(INDEX(Base_Estudiantes!$D$4:$D$505,MATCH(D44,Base_Estudiantes!$C$4:$C$505,0)),"")</f>
        <v/>
      </c>
      <c r="H44" s="7" t="str">
        <f t="array" ref="H44">IFERROR(INDEX(Base_Estudiantes!$F$4:$F$505,MATCH(D44,Base_Estudiantes!$C$4:$C$505,0)),"")</f>
        <v/>
      </c>
      <c r="I44" s="7" t="str">
        <f t="array" ref="I44">IFERROR(INDEX(Base_Estudiantes!$G$4:$G$505,MATCH(D44,Base_Estudiantes!$C$4:$C$505,0)),"")</f>
        <v/>
      </c>
      <c r="J44" s="7" t="str">
        <f t="array" ref="J44">IFERROR(INDEX(Base_Estudiantes!$H$4:$H$505,MATCH(D44,Base_Estudiantes!$C$4:$C$505,0)),"")</f>
        <v/>
      </c>
      <c r="K44" s="5"/>
      <c r="L44" s="5"/>
      <c r="M44" s="5"/>
      <c r="N44" s="5"/>
      <c r="O44" s="5"/>
      <c r="P44" s="5"/>
      <c r="Q44" s="5"/>
      <c r="R44" s="20"/>
      <c r="S44" s="5"/>
      <c r="T44" s="5"/>
    </row>
    <row r="45" spans="1:20" ht="15.75" customHeight="1">
      <c r="A45" s="19" t="str">
        <f t="shared" si="0"/>
        <v/>
      </c>
      <c r="B45" s="6"/>
      <c r="C45" s="20"/>
      <c r="D45" s="5"/>
      <c r="E45" s="7" t="str">
        <f t="array" ref="E45">IFERROR(INDEX(Base_Estudiantes!$A$4:$A$505,MATCH(D45,Base_Estudiantes!$C$4:$C$505,0)),"")</f>
        <v/>
      </c>
      <c r="F45" s="7" t="str">
        <f t="array" ref="F45">IFERROR(INDEX(Base_Estudiantes!$B$4:$B$505,MATCH(D45,Base_Estudiantes!$C$4:$C$505,0)),"")</f>
        <v/>
      </c>
      <c r="G45" s="7" t="str">
        <f t="array" ref="G45">IFERROR(INDEX(Base_Estudiantes!$D$4:$D$505,MATCH(D45,Base_Estudiantes!$C$4:$C$505,0)),"")</f>
        <v/>
      </c>
      <c r="H45" s="7" t="str">
        <f t="array" ref="H45">IFERROR(INDEX(Base_Estudiantes!$F$4:$F$505,MATCH(D45,Base_Estudiantes!$C$4:$C$505,0)),"")</f>
        <v/>
      </c>
      <c r="I45" s="7" t="str">
        <f t="array" ref="I45">IFERROR(INDEX(Base_Estudiantes!$G$4:$G$505,MATCH(D45,Base_Estudiantes!$C$4:$C$505,0)),"")</f>
        <v/>
      </c>
      <c r="J45" s="7" t="str">
        <f t="array" ref="J45">IFERROR(INDEX(Base_Estudiantes!$H$4:$H$505,MATCH(D45,Base_Estudiantes!$C$4:$C$505,0)),"")</f>
        <v/>
      </c>
      <c r="K45" s="5"/>
      <c r="L45" s="5"/>
      <c r="M45" s="5"/>
      <c r="N45" s="5"/>
      <c r="O45" s="5"/>
      <c r="P45" s="5"/>
      <c r="Q45" s="5"/>
      <c r="R45" s="20"/>
      <c r="S45" s="5"/>
      <c r="T45" s="5"/>
    </row>
    <row r="46" spans="1:20" ht="15.75" customHeight="1">
      <c r="A46" s="19" t="str">
        <f t="shared" si="0"/>
        <v/>
      </c>
      <c r="B46" s="6"/>
      <c r="C46" s="20"/>
      <c r="D46" s="5"/>
      <c r="E46" s="7" t="str">
        <f t="array" ref="E46">IFERROR(INDEX(Base_Estudiantes!$A$4:$A$505,MATCH(D46,Base_Estudiantes!$C$4:$C$505,0)),"")</f>
        <v/>
      </c>
      <c r="F46" s="7" t="str">
        <f t="array" ref="F46">IFERROR(INDEX(Base_Estudiantes!$B$4:$B$505,MATCH(D46,Base_Estudiantes!$C$4:$C$505,0)),"")</f>
        <v/>
      </c>
      <c r="G46" s="7" t="str">
        <f t="array" ref="G46">IFERROR(INDEX(Base_Estudiantes!$D$4:$D$505,MATCH(D46,Base_Estudiantes!$C$4:$C$505,0)),"")</f>
        <v/>
      </c>
      <c r="H46" s="7" t="str">
        <f t="array" ref="H46">IFERROR(INDEX(Base_Estudiantes!$F$4:$F$505,MATCH(D46,Base_Estudiantes!$C$4:$C$505,0)),"")</f>
        <v/>
      </c>
      <c r="I46" s="7" t="str">
        <f t="array" ref="I46">IFERROR(INDEX(Base_Estudiantes!$G$4:$G$505,MATCH(D46,Base_Estudiantes!$C$4:$C$505,0)),"")</f>
        <v/>
      </c>
      <c r="J46" s="7" t="str">
        <f t="array" ref="J46">IFERROR(INDEX(Base_Estudiantes!$H$4:$H$505,MATCH(D46,Base_Estudiantes!$C$4:$C$505,0)),"")</f>
        <v/>
      </c>
      <c r="K46" s="5"/>
      <c r="L46" s="5"/>
      <c r="M46" s="5"/>
      <c r="N46" s="5"/>
      <c r="O46" s="5"/>
      <c r="P46" s="5"/>
      <c r="Q46" s="5"/>
      <c r="R46" s="20"/>
      <c r="S46" s="5"/>
      <c r="T46" s="5"/>
    </row>
    <row r="47" spans="1:20" ht="15.75" customHeight="1">
      <c r="A47" s="19" t="str">
        <f t="shared" si="0"/>
        <v/>
      </c>
      <c r="B47" s="6"/>
      <c r="C47" s="20"/>
      <c r="D47" s="5"/>
      <c r="E47" s="7" t="str">
        <f t="array" ref="E47">IFERROR(INDEX(Base_Estudiantes!$A$4:$A$505,MATCH(D47,Base_Estudiantes!$C$4:$C$505,0)),"")</f>
        <v/>
      </c>
      <c r="F47" s="7" t="str">
        <f t="array" ref="F47">IFERROR(INDEX(Base_Estudiantes!$B$4:$B$505,MATCH(D47,Base_Estudiantes!$C$4:$C$505,0)),"")</f>
        <v/>
      </c>
      <c r="G47" s="7" t="str">
        <f t="array" ref="G47">IFERROR(INDEX(Base_Estudiantes!$D$4:$D$505,MATCH(D47,Base_Estudiantes!$C$4:$C$505,0)),"")</f>
        <v/>
      </c>
      <c r="H47" s="7" t="str">
        <f t="array" ref="H47">IFERROR(INDEX(Base_Estudiantes!$F$4:$F$505,MATCH(D47,Base_Estudiantes!$C$4:$C$505,0)),"")</f>
        <v/>
      </c>
      <c r="I47" s="7" t="str">
        <f t="array" ref="I47">IFERROR(INDEX(Base_Estudiantes!$G$4:$G$505,MATCH(D47,Base_Estudiantes!$C$4:$C$505,0)),"")</f>
        <v/>
      </c>
      <c r="J47" s="7" t="str">
        <f t="array" ref="J47">IFERROR(INDEX(Base_Estudiantes!$H$4:$H$505,MATCH(D47,Base_Estudiantes!$C$4:$C$505,0)),"")</f>
        <v/>
      </c>
      <c r="K47" s="5"/>
      <c r="L47" s="5"/>
      <c r="M47" s="5"/>
      <c r="N47" s="5"/>
      <c r="O47" s="5"/>
      <c r="P47" s="5"/>
      <c r="Q47" s="5"/>
      <c r="R47" s="20"/>
      <c r="S47" s="5"/>
      <c r="T47" s="5"/>
    </row>
    <row r="48" spans="1:20" ht="15.75" customHeight="1">
      <c r="A48" s="19" t="str">
        <f t="shared" si="0"/>
        <v/>
      </c>
      <c r="B48" s="6"/>
      <c r="C48" s="20"/>
      <c r="D48" s="5"/>
      <c r="E48" s="7" t="str">
        <f t="array" ref="E48">IFERROR(INDEX(Base_Estudiantes!$A$4:$A$505,MATCH(D48,Base_Estudiantes!$C$4:$C$505,0)),"")</f>
        <v/>
      </c>
      <c r="F48" s="7" t="str">
        <f t="array" ref="F48">IFERROR(INDEX(Base_Estudiantes!$B$4:$B$505,MATCH(D48,Base_Estudiantes!$C$4:$C$505,0)),"")</f>
        <v/>
      </c>
      <c r="G48" s="7" t="str">
        <f t="array" ref="G48">IFERROR(INDEX(Base_Estudiantes!$D$4:$D$505,MATCH(D48,Base_Estudiantes!$C$4:$C$505,0)),"")</f>
        <v/>
      </c>
      <c r="H48" s="7" t="str">
        <f t="array" ref="H48">IFERROR(INDEX(Base_Estudiantes!$F$4:$F$505,MATCH(D48,Base_Estudiantes!$C$4:$C$505,0)),"")</f>
        <v/>
      </c>
      <c r="I48" s="7" t="str">
        <f t="array" ref="I48">IFERROR(INDEX(Base_Estudiantes!$G$4:$G$505,MATCH(D48,Base_Estudiantes!$C$4:$C$505,0)),"")</f>
        <v/>
      </c>
      <c r="J48" s="7" t="str">
        <f t="array" ref="J48">IFERROR(INDEX(Base_Estudiantes!$H$4:$H$505,MATCH(D48,Base_Estudiantes!$C$4:$C$505,0)),"")</f>
        <v/>
      </c>
      <c r="K48" s="5"/>
      <c r="L48" s="5"/>
      <c r="M48" s="5"/>
      <c r="N48" s="5"/>
      <c r="O48" s="5"/>
      <c r="P48" s="5"/>
      <c r="Q48" s="5"/>
      <c r="R48" s="20"/>
      <c r="S48" s="5"/>
      <c r="T48" s="5"/>
    </row>
    <row r="49" spans="1:20" ht="15.75" customHeight="1">
      <c r="A49" s="19" t="str">
        <f t="shared" si="0"/>
        <v/>
      </c>
      <c r="B49" s="6"/>
      <c r="C49" s="20"/>
      <c r="D49" s="5"/>
      <c r="E49" s="7" t="str">
        <f t="array" ref="E49">IFERROR(INDEX(Base_Estudiantes!$A$4:$A$505,MATCH(D49,Base_Estudiantes!$C$4:$C$505,0)),"")</f>
        <v/>
      </c>
      <c r="F49" s="7" t="str">
        <f t="array" ref="F49">IFERROR(INDEX(Base_Estudiantes!$B$4:$B$505,MATCH(D49,Base_Estudiantes!$C$4:$C$505,0)),"")</f>
        <v/>
      </c>
      <c r="G49" s="7" t="str">
        <f t="array" ref="G49">IFERROR(INDEX(Base_Estudiantes!$D$4:$D$505,MATCH(D49,Base_Estudiantes!$C$4:$C$505,0)),"")</f>
        <v/>
      </c>
      <c r="H49" s="7" t="str">
        <f t="array" ref="H49">IFERROR(INDEX(Base_Estudiantes!$F$4:$F$505,MATCH(D49,Base_Estudiantes!$C$4:$C$505,0)),"")</f>
        <v/>
      </c>
      <c r="I49" s="7" t="str">
        <f t="array" ref="I49">IFERROR(INDEX(Base_Estudiantes!$G$4:$G$505,MATCH(D49,Base_Estudiantes!$C$4:$C$505,0)),"")</f>
        <v/>
      </c>
      <c r="J49" s="7" t="str">
        <f t="array" ref="J49">IFERROR(INDEX(Base_Estudiantes!$H$4:$H$505,MATCH(D49,Base_Estudiantes!$C$4:$C$505,0)),"")</f>
        <v/>
      </c>
      <c r="K49" s="5"/>
      <c r="L49" s="5"/>
      <c r="M49" s="5"/>
      <c r="N49" s="5"/>
      <c r="O49" s="5"/>
      <c r="P49" s="5"/>
      <c r="Q49" s="5"/>
      <c r="R49" s="20"/>
      <c r="S49" s="5"/>
      <c r="T49" s="5"/>
    </row>
    <row r="50" spans="1:20" ht="15.75" customHeight="1">
      <c r="A50" s="19" t="str">
        <f t="shared" si="0"/>
        <v/>
      </c>
      <c r="B50" s="6"/>
      <c r="C50" s="20"/>
      <c r="D50" s="5"/>
      <c r="E50" s="7" t="str">
        <f t="array" ref="E50">IFERROR(INDEX(Base_Estudiantes!$A$4:$A$505,MATCH(D50,Base_Estudiantes!$C$4:$C$505,0)),"")</f>
        <v/>
      </c>
      <c r="F50" s="7" t="str">
        <f t="array" ref="F50">IFERROR(INDEX(Base_Estudiantes!$B$4:$B$505,MATCH(D50,Base_Estudiantes!$C$4:$C$505,0)),"")</f>
        <v/>
      </c>
      <c r="G50" s="7" t="str">
        <f t="array" ref="G50">IFERROR(INDEX(Base_Estudiantes!$D$4:$D$505,MATCH(D50,Base_Estudiantes!$C$4:$C$505,0)),"")</f>
        <v/>
      </c>
      <c r="H50" s="7" t="str">
        <f t="array" ref="H50">IFERROR(INDEX(Base_Estudiantes!$F$4:$F$505,MATCH(D50,Base_Estudiantes!$C$4:$C$505,0)),"")</f>
        <v/>
      </c>
      <c r="I50" s="7" t="str">
        <f t="array" ref="I50">IFERROR(INDEX(Base_Estudiantes!$G$4:$G$505,MATCH(D50,Base_Estudiantes!$C$4:$C$505,0)),"")</f>
        <v/>
      </c>
      <c r="J50" s="7" t="str">
        <f t="array" ref="J50">IFERROR(INDEX(Base_Estudiantes!$H$4:$H$505,MATCH(D50,Base_Estudiantes!$C$4:$C$505,0)),"")</f>
        <v/>
      </c>
      <c r="K50" s="5"/>
      <c r="L50" s="5"/>
      <c r="M50" s="5"/>
      <c r="N50" s="5"/>
      <c r="O50" s="5"/>
      <c r="P50" s="5"/>
      <c r="Q50" s="5"/>
      <c r="R50" s="20"/>
      <c r="S50" s="5"/>
      <c r="T50" s="5"/>
    </row>
    <row r="51" spans="1:20" ht="15.75" customHeight="1">
      <c r="A51" s="19" t="str">
        <f t="shared" si="0"/>
        <v/>
      </c>
      <c r="B51" s="6"/>
      <c r="C51" s="20"/>
      <c r="D51" s="5"/>
      <c r="E51" s="7" t="str">
        <f t="array" ref="E51">IFERROR(INDEX(Base_Estudiantes!$A$4:$A$505,MATCH(D51,Base_Estudiantes!$C$4:$C$505,0)),"")</f>
        <v/>
      </c>
      <c r="F51" s="7" t="str">
        <f t="array" ref="F51">IFERROR(INDEX(Base_Estudiantes!$B$4:$B$505,MATCH(D51,Base_Estudiantes!$C$4:$C$505,0)),"")</f>
        <v/>
      </c>
      <c r="G51" s="7" t="str">
        <f t="array" ref="G51">IFERROR(INDEX(Base_Estudiantes!$D$4:$D$505,MATCH(D51,Base_Estudiantes!$C$4:$C$505,0)),"")</f>
        <v/>
      </c>
      <c r="H51" s="7" t="str">
        <f t="array" ref="H51">IFERROR(INDEX(Base_Estudiantes!$F$4:$F$505,MATCH(D51,Base_Estudiantes!$C$4:$C$505,0)),"")</f>
        <v/>
      </c>
      <c r="I51" s="7" t="str">
        <f t="array" ref="I51">IFERROR(INDEX(Base_Estudiantes!$G$4:$G$505,MATCH(D51,Base_Estudiantes!$C$4:$C$505,0)),"")</f>
        <v/>
      </c>
      <c r="J51" s="7" t="str">
        <f t="array" ref="J51">IFERROR(INDEX(Base_Estudiantes!$H$4:$H$505,MATCH(D51,Base_Estudiantes!$C$4:$C$505,0)),"")</f>
        <v/>
      </c>
      <c r="K51" s="5"/>
      <c r="L51" s="5"/>
      <c r="M51" s="5"/>
      <c r="N51" s="5"/>
      <c r="O51" s="5"/>
      <c r="P51" s="5"/>
      <c r="Q51" s="5"/>
      <c r="R51" s="20"/>
      <c r="S51" s="5"/>
      <c r="T51" s="5"/>
    </row>
    <row r="52" spans="1:20" ht="15.75" customHeight="1">
      <c r="A52" s="19" t="str">
        <f t="shared" si="0"/>
        <v/>
      </c>
      <c r="B52" s="6"/>
      <c r="C52" s="20"/>
      <c r="D52" s="5"/>
      <c r="E52" s="7" t="str">
        <f t="array" ref="E52">IFERROR(INDEX(Base_Estudiantes!$A$4:$A$505,MATCH(D52,Base_Estudiantes!$C$4:$C$505,0)),"")</f>
        <v/>
      </c>
      <c r="F52" s="7" t="str">
        <f t="array" ref="F52">IFERROR(INDEX(Base_Estudiantes!$B$4:$B$505,MATCH(D52,Base_Estudiantes!$C$4:$C$505,0)),"")</f>
        <v/>
      </c>
      <c r="G52" s="7" t="str">
        <f t="array" ref="G52">IFERROR(INDEX(Base_Estudiantes!$D$4:$D$505,MATCH(D52,Base_Estudiantes!$C$4:$C$505,0)),"")</f>
        <v/>
      </c>
      <c r="H52" s="7" t="str">
        <f t="array" ref="H52">IFERROR(INDEX(Base_Estudiantes!$F$4:$F$505,MATCH(D52,Base_Estudiantes!$C$4:$C$505,0)),"")</f>
        <v/>
      </c>
      <c r="I52" s="7" t="str">
        <f t="array" ref="I52">IFERROR(INDEX(Base_Estudiantes!$G$4:$G$505,MATCH(D52,Base_Estudiantes!$C$4:$C$505,0)),"")</f>
        <v/>
      </c>
      <c r="J52" s="7" t="str">
        <f t="array" ref="J52">IFERROR(INDEX(Base_Estudiantes!$H$4:$H$505,MATCH(D52,Base_Estudiantes!$C$4:$C$505,0)),"")</f>
        <v/>
      </c>
      <c r="K52" s="5"/>
      <c r="L52" s="5"/>
      <c r="M52" s="5"/>
      <c r="N52" s="5"/>
      <c r="O52" s="5"/>
      <c r="P52" s="5"/>
      <c r="Q52" s="5"/>
      <c r="R52" s="20"/>
      <c r="S52" s="5"/>
      <c r="T52" s="5"/>
    </row>
    <row r="53" spans="1:20" ht="15.75" customHeight="1">
      <c r="A53" s="19" t="str">
        <f t="shared" si="0"/>
        <v/>
      </c>
      <c r="B53" s="6"/>
      <c r="C53" s="20"/>
      <c r="D53" s="5"/>
      <c r="E53" s="7" t="str">
        <f t="array" ref="E53">IFERROR(INDEX(Base_Estudiantes!$A$4:$A$505,MATCH(D53,Base_Estudiantes!$C$4:$C$505,0)),"")</f>
        <v/>
      </c>
      <c r="F53" s="7" t="str">
        <f t="array" ref="F53">IFERROR(INDEX(Base_Estudiantes!$B$4:$B$505,MATCH(D53,Base_Estudiantes!$C$4:$C$505,0)),"")</f>
        <v/>
      </c>
      <c r="G53" s="7" t="str">
        <f t="array" ref="G53">IFERROR(INDEX(Base_Estudiantes!$D$4:$D$505,MATCH(D53,Base_Estudiantes!$C$4:$C$505,0)),"")</f>
        <v/>
      </c>
      <c r="H53" s="7" t="str">
        <f t="array" ref="H53">IFERROR(INDEX(Base_Estudiantes!$F$4:$F$505,MATCH(D53,Base_Estudiantes!$C$4:$C$505,0)),"")</f>
        <v/>
      </c>
      <c r="I53" s="7" t="str">
        <f t="array" ref="I53">IFERROR(INDEX(Base_Estudiantes!$G$4:$G$505,MATCH(D53,Base_Estudiantes!$C$4:$C$505,0)),"")</f>
        <v/>
      </c>
      <c r="J53" s="7" t="str">
        <f t="array" ref="J53">IFERROR(INDEX(Base_Estudiantes!$H$4:$H$505,MATCH(D53,Base_Estudiantes!$C$4:$C$505,0)),"")</f>
        <v/>
      </c>
      <c r="K53" s="5"/>
      <c r="L53" s="5"/>
      <c r="M53" s="5"/>
      <c r="N53" s="5"/>
      <c r="O53" s="5"/>
      <c r="P53" s="5"/>
      <c r="Q53" s="5"/>
      <c r="R53" s="20"/>
      <c r="S53" s="5"/>
      <c r="T53" s="5"/>
    </row>
    <row r="54" spans="1:20" ht="15.75" customHeight="1">
      <c r="A54" s="19" t="str">
        <f t="shared" si="0"/>
        <v/>
      </c>
      <c r="B54" s="6"/>
      <c r="C54" s="20"/>
      <c r="D54" s="5"/>
      <c r="E54" s="7" t="str">
        <f t="array" ref="E54">IFERROR(INDEX(Base_Estudiantes!$A$4:$A$505,MATCH(D54,Base_Estudiantes!$C$4:$C$505,0)),"")</f>
        <v/>
      </c>
      <c r="F54" s="7" t="str">
        <f t="array" ref="F54">IFERROR(INDEX(Base_Estudiantes!$B$4:$B$505,MATCH(D54,Base_Estudiantes!$C$4:$C$505,0)),"")</f>
        <v/>
      </c>
      <c r="G54" s="7" t="str">
        <f t="array" ref="G54">IFERROR(INDEX(Base_Estudiantes!$D$4:$D$505,MATCH(D54,Base_Estudiantes!$C$4:$C$505,0)),"")</f>
        <v/>
      </c>
      <c r="H54" s="7" t="str">
        <f t="array" ref="H54">IFERROR(INDEX(Base_Estudiantes!$F$4:$F$505,MATCH(D54,Base_Estudiantes!$C$4:$C$505,0)),"")</f>
        <v/>
      </c>
      <c r="I54" s="7" t="str">
        <f t="array" ref="I54">IFERROR(INDEX(Base_Estudiantes!$G$4:$G$505,MATCH(D54,Base_Estudiantes!$C$4:$C$505,0)),"")</f>
        <v/>
      </c>
      <c r="J54" s="7" t="str">
        <f t="array" ref="J54">IFERROR(INDEX(Base_Estudiantes!$H$4:$H$505,MATCH(D54,Base_Estudiantes!$C$4:$C$505,0)),"")</f>
        <v/>
      </c>
      <c r="K54" s="5"/>
      <c r="L54" s="5"/>
      <c r="M54" s="5"/>
      <c r="N54" s="5"/>
      <c r="O54" s="5"/>
      <c r="P54" s="5"/>
      <c r="Q54" s="5"/>
      <c r="R54" s="20"/>
      <c r="S54" s="5"/>
      <c r="T54" s="5"/>
    </row>
    <row r="55" spans="1:20" ht="15.75" customHeight="1">
      <c r="A55" s="19" t="str">
        <f t="shared" si="0"/>
        <v/>
      </c>
      <c r="B55" s="6"/>
      <c r="C55" s="20"/>
      <c r="D55" s="5"/>
      <c r="E55" s="7" t="str">
        <f t="array" ref="E55">IFERROR(INDEX(Base_Estudiantes!$A$4:$A$505,MATCH(D55,Base_Estudiantes!$C$4:$C$505,0)),"")</f>
        <v/>
      </c>
      <c r="F55" s="7" t="str">
        <f t="array" ref="F55">IFERROR(INDEX(Base_Estudiantes!$B$4:$B$505,MATCH(D55,Base_Estudiantes!$C$4:$C$505,0)),"")</f>
        <v/>
      </c>
      <c r="G55" s="7" t="str">
        <f t="array" ref="G55">IFERROR(INDEX(Base_Estudiantes!$D$4:$D$505,MATCH(D55,Base_Estudiantes!$C$4:$C$505,0)),"")</f>
        <v/>
      </c>
      <c r="H55" s="7" t="str">
        <f t="array" ref="H55">IFERROR(INDEX(Base_Estudiantes!$F$4:$F$505,MATCH(D55,Base_Estudiantes!$C$4:$C$505,0)),"")</f>
        <v/>
      </c>
      <c r="I55" s="7" t="str">
        <f t="array" ref="I55">IFERROR(INDEX(Base_Estudiantes!$G$4:$G$505,MATCH(D55,Base_Estudiantes!$C$4:$C$505,0)),"")</f>
        <v/>
      </c>
      <c r="J55" s="7" t="str">
        <f t="array" ref="J55">IFERROR(INDEX(Base_Estudiantes!$H$4:$H$505,MATCH(D55,Base_Estudiantes!$C$4:$C$505,0)),"")</f>
        <v/>
      </c>
      <c r="K55" s="5"/>
      <c r="L55" s="5"/>
      <c r="M55" s="5"/>
      <c r="N55" s="5"/>
      <c r="O55" s="5"/>
      <c r="P55" s="5"/>
      <c r="Q55" s="5"/>
      <c r="R55" s="20"/>
      <c r="S55" s="5"/>
      <c r="T55" s="5"/>
    </row>
    <row r="56" spans="1:20" ht="15.75" customHeight="1">
      <c r="A56" s="19" t="str">
        <f t="shared" si="0"/>
        <v/>
      </c>
      <c r="B56" s="6"/>
      <c r="C56" s="20"/>
      <c r="D56" s="5"/>
      <c r="E56" s="7" t="str">
        <f t="array" ref="E56">IFERROR(INDEX(Base_Estudiantes!$A$4:$A$505,MATCH(D56,Base_Estudiantes!$C$4:$C$505,0)),"")</f>
        <v/>
      </c>
      <c r="F56" s="7" t="str">
        <f t="array" ref="F56">IFERROR(INDEX(Base_Estudiantes!$B$4:$B$505,MATCH(D56,Base_Estudiantes!$C$4:$C$505,0)),"")</f>
        <v/>
      </c>
      <c r="G56" s="7" t="str">
        <f t="array" ref="G56">IFERROR(INDEX(Base_Estudiantes!$D$4:$D$505,MATCH(D56,Base_Estudiantes!$C$4:$C$505,0)),"")</f>
        <v/>
      </c>
      <c r="H56" s="7" t="str">
        <f t="array" ref="H56">IFERROR(INDEX(Base_Estudiantes!$F$4:$F$505,MATCH(D56,Base_Estudiantes!$C$4:$C$505,0)),"")</f>
        <v/>
      </c>
      <c r="I56" s="7" t="str">
        <f t="array" ref="I56">IFERROR(INDEX(Base_Estudiantes!$G$4:$G$505,MATCH(D56,Base_Estudiantes!$C$4:$C$505,0)),"")</f>
        <v/>
      </c>
      <c r="J56" s="7" t="str">
        <f t="array" ref="J56">IFERROR(INDEX(Base_Estudiantes!$H$4:$H$505,MATCH(D56,Base_Estudiantes!$C$4:$C$505,0)),"")</f>
        <v/>
      </c>
      <c r="K56" s="5"/>
      <c r="L56" s="5"/>
      <c r="M56" s="5"/>
      <c r="N56" s="5"/>
      <c r="O56" s="5"/>
      <c r="P56" s="5"/>
      <c r="Q56" s="5"/>
      <c r="R56" s="20"/>
      <c r="S56" s="5"/>
      <c r="T56" s="5"/>
    </row>
    <row r="57" spans="1:20" ht="15.75" customHeight="1">
      <c r="A57" s="19" t="str">
        <f t="shared" si="0"/>
        <v/>
      </c>
      <c r="B57" s="6"/>
      <c r="C57" s="20"/>
      <c r="D57" s="5"/>
      <c r="E57" s="7" t="str">
        <f t="array" ref="E57">IFERROR(INDEX(Base_Estudiantes!$A$4:$A$505,MATCH(D57,Base_Estudiantes!$C$4:$C$505,0)),"")</f>
        <v/>
      </c>
      <c r="F57" s="7" t="str">
        <f t="array" ref="F57">IFERROR(INDEX(Base_Estudiantes!$B$4:$B$505,MATCH(D57,Base_Estudiantes!$C$4:$C$505,0)),"")</f>
        <v/>
      </c>
      <c r="G57" s="7" t="str">
        <f t="array" ref="G57">IFERROR(INDEX(Base_Estudiantes!$D$4:$D$505,MATCH(D57,Base_Estudiantes!$C$4:$C$505,0)),"")</f>
        <v/>
      </c>
      <c r="H57" s="7" t="str">
        <f t="array" ref="H57">IFERROR(INDEX(Base_Estudiantes!$F$4:$F$505,MATCH(D57,Base_Estudiantes!$C$4:$C$505,0)),"")</f>
        <v/>
      </c>
      <c r="I57" s="7" t="str">
        <f t="array" ref="I57">IFERROR(INDEX(Base_Estudiantes!$G$4:$G$505,MATCH(D57,Base_Estudiantes!$C$4:$C$505,0)),"")</f>
        <v/>
      </c>
      <c r="J57" s="7" t="str">
        <f t="array" ref="J57">IFERROR(INDEX(Base_Estudiantes!$H$4:$H$505,MATCH(D57,Base_Estudiantes!$C$4:$C$505,0)),"")</f>
        <v/>
      </c>
      <c r="K57" s="5"/>
      <c r="L57" s="5"/>
      <c r="M57" s="5"/>
      <c r="N57" s="5"/>
      <c r="O57" s="5"/>
      <c r="P57" s="5"/>
      <c r="Q57" s="5"/>
      <c r="R57" s="20"/>
      <c r="S57" s="5"/>
      <c r="T57" s="5"/>
    </row>
    <row r="58" spans="1:20" ht="15.75" customHeight="1">
      <c r="A58" s="19" t="str">
        <f t="shared" si="0"/>
        <v/>
      </c>
      <c r="B58" s="6"/>
      <c r="C58" s="20"/>
      <c r="D58" s="5"/>
      <c r="E58" s="7" t="str">
        <f t="array" ref="E58">IFERROR(INDEX(Base_Estudiantes!$A$4:$A$505,MATCH(D58,Base_Estudiantes!$C$4:$C$505,0)),"")</f>
        <v/>
      </c>
      <c r="F58" s="7" t="str">
        <f t="array" ref="F58">IFERROR(INDEX(Base_Estudiantes!$B$4:$B$505,MATCH(D58,Base_Estudiantes!$C$4:$C$505,0)),"")</f>
        <v/>
      </c>
      <c r="G58" s="7" t="str">
        <f t="array" ref="G58">IFERROR(INDEX(Base_Estudiantes!$D$4:$D$505,MATCH(D58,Base_Estudiantes!$C$4:$C$505,0)),"")</f>
        <v/>
      </c>
      <c r="H58" s="7" t="str">
        <f t="array" ref="H58">IFERROR(INDEX(Base_Estudiantes!$F$4:$F$505,MATCH(D58,Base_Estudiantes!$C$4:$C$505,0)),"")</f>
        <v/>
      </c>
      <c r="I58" s="7" t="str">
        <f t="array" ref="I58">IFERROR(INDEX(Base_Estudiantes!$G$4:$G$505,MATCH(D58,Base_Estudiantes!$C$4:$C$505,0)),"")</f>
        <v/>
      </c>
      <c r="J58" s="7" t="str">
        <f t="array" ref="J58">IFERROR(INDEX(Base_Estudiantes!$H$4:$H$505,MATCH(D58,Base_Estudiantes!$C$4:$C$505,0)),"")</f>
        <v/>
      </c>
      <c r="K58" s="5"/>
      <c r="L58" s="5"/>
      <c r="M58" s="5"/>
      <c r="N58" s="5"/>
      <c r="O58" s="5"/>
      <c r="P58" s="5"/>
      <c r="Q58" s="5"/>
      <c r="R58" s="20"/>
      <c r="S58" s="5"/>
      <c r="T58" s="5"/>
    </row>
    <row r="59" spans="1:20" ht="15.75" customHeight="1">
      <c r="A59" s="19" t="str">
        <f t="shared" si="0"/>
        <v/>
      </c>
      <c r="B59" s="6"/>
      <c r="C59" s="20"/>
      <c r="D59" s="5"/>
      <c r="E59" s="7" t="str">
        <f t="array" ref="E59">IFERROR(INDEX(Base_Estudiantes!$A$4:$A$505,MATCH(D59,Base_Estudiantes!$C$4:$C$505,0)),"")</f>
        <v/>
      </c>
      <c r="F59" s="7" t="str">
        <f t="array" ref="F59">IFERROR(INDEX(Base_Estudiantes!$B$4:$B$505,MATCH(D59,Base_Estudiantes!$C$4:$C$505,0)),"")</f>
        <v/>
      </c>
      <c r="G59" s="7" t="str">
        <f t="array" ref="G59">IFERROR(INDEX(Base_Estudiantes!$D$4:$D$505,MATCH(D59,Base_Estudiantes!$C$4:$C$505,0)),"")</f>
        <v/>
      </c>
      <c r="H59" s="7" t="str">
        <f t="array" ref="H59">IFERROR(INDEX(Base_Estudiantes!$F$4:$F$505,MATCH(D59,Base_Estudiantes!$C$4:$C$505,0)),"")</f>
        <v/>
      </c>
      <c r="I59" s="7" t="str">
        <f t="array" ref="I59">IFERROR(INDEX(Base_Estudiantes!$G$4:$G$505,MATCH(D59,Base_Estudiantes!$C$4:$C$505,0)),"")</f>
        <v/>
      </c>
      <c r="J59" s="7" t="str">
        <f t="array" ref="J59">IFERROR(INDEX(Base_Estudiantes!$H$4:$H$505,MATCH(D59,Base_Estudiantes!$C$4:$C$505,0)),"")</f>
        <v/>
      </c>
      <c r="K59" s="5"/>
      <c r="L59" s="5"/>
      <c r="M59" s="5"/>
      <c r="N59" s="5"/>
      <c r="O59" s="5"/>
      <c r="P59" s="5"/>
      <c r="Q59" s="5"/>
      <c r="R59" s="20"/>
      <c r="S59" s="5"/>
      <c r="T59" s="5"/>
    </row>
    <row r="60" spans="1:20" ht="15.75" customHeight="1">
      <c r="A60" s="19" t="str">
        <f t="shared" si="0"/>
        <v/>
      </c>
      <c r="B60" s="6"/>
      <c r="C60" s="20"/>
      <c r="D60" s="5"/>
      <c r="E60" s="7" t="str">
        <f t="array" ref="E60">IFERROR(INDEX(Base_Estudiantes!$A$4:$A$505,MATCH(D60,Base_Estudiantes!$C$4:$C$505,0)),"")</f>
        <v/>
      </c>
      <c r="F60" s="7" t="str">
        <f t="array" ref="F60">IFERROR(INDEX(Base_Estudiantes!$B$4:$B$505,MATCH(D60,Base_Estudiantes!$C$4:$C$505,0)),"")</f>
        <v/>
      </c>
      <c r="G60" s="7" t="str">
        <f t="array" ref="G60">IFERROR(INDEX(Base_Estudiantes!$D$4:$D$505,MATCH(D60,Base_Estudiantes!$C$4:$C$505,0)),"")</f>
        <v/>
      </c>
      <c r="H60" s="7" t="str">
        <f t="array" ref="H60">IFERROR(INDEX(Base_Estudiantes!$F$4:$F$505,MATCH(D60,Base_Estudiantes!$C$4:$C$505,0)),"")</f>
        <v/>
      </c>
      <c r="I60" s="7" t="str">
        <f t="array" ref="I60">IFERROR(INDEX(Base_Estudiantes!$G$4:$G$505,MATCH(D60,Base_Estudiantes!$C$4:$C$505,0)),"")</f>
        <v/>
      </c>
      <c r="J60" s="7" t="str">
        <f t="array" ref="J60">IFERROR(INDEX(Base_Estudiantes!$H$4:$H$505,MATCH(D60,Base_Estudiantes!$C$4:$C$505,0)),"")</f>
        <v/>
      </c>
      <c r="K60" s="5"/>
      <c r="L60" s="5"/>
      <c r="M60" s="5"/>
      <c r="N60" s="5"/>
      <c r="O60" s="5"/>
      <c r="P60" s="5"/>
      <c r="Q60" s="5"/>
      <c r="R60" s="20"/>
      <c r="S60" s="5"/>
      <c r="T60" s="5"/>
    </row>
    <row r="61" spans="1:20" ht="15.75" customHeight="1">
      <c r="A61" s="19" t="str">
        <f t="shared" si="0"/>
        <v/>
      </c>
      <c r="B61" s="6"/>
      <c r="C61" s="20"/>
      <c r="D61" s="5"/>
      <c r="E61" s="7" t="str">
        <f t="array" ref="E61">IFERROR(INDEX(Base_Estudiantes!$A$4:$A$505,MATCH(D61,Base_Estudiantes!$C$4:$C$505,0)),"")</f>
        <v/>
      </c>
      <c r="F61" s="7" t="str">
        <f t="array" ref="F61">IFERROR(INDEX(Base_Estudiantes!$B$4:$B$505,MATCH(D61,Base_Estudiantes!$C$4:$C$505,0)),"")</f>
        <v/>
      </c>
      <c r="G61" s="7" t="str">
        <f t="array" ref="G61">IFERROR(INDEX(Base_Estudiantes!$D$4:$D$505,MATCH(D61,Base_Estudiantes!$C$4:$C$505,0)),"")</f>
        <v/>
      </c>
      <c r="H61" s="7" t="str">
        <f t="array" ref="H61">IFERROR(INDEX(Base_Estudiantes!$F$4:$F$505,MATCH(D61,Base_Estudiantes!$C$4:$C$505,0)),"")</f>
        <v/>
      </c>
      <c r="I61" s="7" t="str">
        <f t="array" ref="I61">IFERROR(INDEX(Base_Estudiantes!$G$4:$G$505,MATCH(D61,Base_Estudiantes!$C$4:$C$505,0)),"")</f>
        <v/>
      </c>
      <c r="J61" s="7" t="str">
        <f t="array" ref="J61">IFERROR(INDEX(Base_Estudiantes!$H$4:$H$505,MATCH(D61,Base_Estudiantes!$C$4:$C$505,0)),"")</f>
        <v/>
      </c>
      <c r="K61" s="5"/>
      <c r="L61" s="5"/>
      <c r="M61" s="5"/>
      <c r="N61" s="5"/>
      <c r="O61" s="5"/>
      <c r="P61" s="5"/>
      <c r="Q61" s="5"/>
      <c r="R61" s="20"/>
      <c r="S61" s="5"/>
      <c r="T61" s="5"/>
    </row>
    <row r="62" spans="1:20" ht="15.75" customHeight="1">
      <c r="A62" s="19" t="str">
        <f t="shared" si="0"/>
        <v/>
      </c>
      <c r="B62" s="6"/>
      <c r="C62" s="20"/>
      <c r="D62" s="5"/>
      <c r="E62" s="7" t="str">
        <f t="array" ref="E62">IFERROR(INDEX(Base_Estudiantes!$A$4:$A$505,MATCH(D62,Base_Estudiantes!$C$4:$C$505,0)),"")</f>
        <v/>
      </c>
      <c r="F62" s="7" t="str">
        <f t="array" ref="F62">IFERROR(INDEX(Base_Estudiantes!$B$4:$B$505,MATCH(D62,Base_Estudiantes!$C$4:$C$505,0)),"")</f>
        <v/>
      </c>
      <c r="G62" s="7" t="str">
        <f t="array" ref="G62">IFERROR(INDEX(Base_Estudiantes!$D$4:$D$505,MATCH(D62,Base_Estudiantes!$C$4:$C$505,0)),"")</f>
        <v/>
      </c>
      <c r="H62" s="7" t="str">
        <f t="array" ref="H62">IFERROR(INDEX(Base_Estudiantes!$F$4:$F$505,MATCH(D62,Base_Estudiantes!$C$4:$C$505,0)),"")</f>
        <v/>
      </c>
      <c r="I62" s="7" t="str">
        <f t="array" ref="I62">IFERROR(INDEX(Base_Estudiantes!$G$4:$G$505,MATCH(D62,Base_Estudiantes!$C$4:$C$505,0)),"")</f>
        <v/>
      </c>
      <c r="J62" s="7" t="str">
        <f t="array" ref="J62">IFERROR(INDEX(Base_Estudiantes!$H$4:$H$505,MATCH(D62,Base_Estudiantes!$C$4:$C$505,0)),"")</f>
        <v/>
      </c>
      <c r="K62" s="5"/>
      <c r="L62" s="5"/>
      <c r="M62" s="5"/>
      <c r="N62" s="5"/>
      <c r="O62" s="5"/>
      <c r="P62" s="5"/>
      <c r="Q62" s="5"/>
      <c r="R62" s="20"/>
      <c r="S62" s="5"/>
      <c r="T62" s="5"/>
    </row>
    <row r="63" spans="1:20" ht="15.75" customHeight="1">
      <c r="A63" s="19" t="str">
        <f t="shared" si="0"/>
        <v/>
      </c>
      <c r="B63" s="6"/>
      <c r="C63" s="20"/>
      <c r="D63" s="5"/>
      <c r="E63" s="7" t="str">
        <f t="array" ref="E63">IFERROR(INDEX(Base_Estudiantes!$A$4:$A$505,MATCH(D63,Base_Estudiantes!$C$4:$C$505,0)),"")</f>
        <v/>
      </c>
      <c r="F63" s="7" t="str">
        <f t="array" ref="F63">IFERROR(INDEX(Base_Estudiantes!$B$4:$B$505,MATCH(D63,Base_Estudiantes!$C$4:$C$505,0)),"")</f>
        <v/>
      </c>
      <c r="G63" s="7" t="str">
        <f t="array" ref="G63">IFERROR(INDEX(Base_Estudiantes!$D$4:$D$505,MATCH(D63,Base_Estudiantes!$C$4:$C$505,0)),"")</f>
        <v/>
      </c>
      <c r="H63" s="7" t="str">
        <f t="array" ref="H63">IFERROR(INDEX(Base_Estudiantes!$F$4:$F$505,MATCH(D63,Base_Estudiantes!$C$4:$C$505,0)),"")</f>
        <v/>
      </c>
      <c r="I63" s="7" t="str">
        <f t="array" ref="I63">IFERROR(INDEX(Base_Estudiantes!$G$4:$G$505,MATCH(D63,Base_Estudiantes!$C$4:$C$505,0)),"")</f>
        <v/>
      </c>
      <c r="J63" s="7" t="str">
        <f t="array" ref="J63">IFERROR(INDEX(Base_Estudiantes!$H$4:$H$505,MATCH(D63,Base_Estudiantes!$C$4:$C$505,0)),"")</f>
        <v/>
      </c>
      <c r="K63" s="5"/>
      <c r="L63" s="5"/>
      <c r="M63" s="5"/>
      <c r="N63" s="5"/>
      <c r="O63" s="5"/>
      <c r="P63" s="5"/>
      <c r="Q63" s="5"/>
      <c r="R63" s="20"/>
      <c r="S63" s="5"/>
      <c r="T63" s="5"/>
    </row>
    <row r="64" spans="1:20" ht="15.75" customHeight="1">
      <c r="A64" s="19" t="str">
        <f t="shared" si="0"/>
        <v/>
      </c>
      <c r="B64" s="6"/>
      <c r="C64" s="20"/>
      <c r="D64" s="5"/>
      <c r="E64" s="7" t="str">
        <f t="array" ref="E64">IFERROR(INDEX(Base_Estudiantes!$A$4:$A$505,MATCH(D64,Base_Estudiantes!$C$4:$C$505,0)),"")</f>
        <v/>
      </c>
      <c r="F64" s="7" t="str">
        <f t="array" ref="F64">IFERROR(INDEX(Base_Estudiantes!$B$4:$B$505,MATCH(D64,Base_Estudiantes!$C$4:$C$505,0)),"")</f>
        <v/>
      </c>
      <c r="G64" s="7" t="str">
        <f t="array" ref="G64">IFERROR(INDEX(Base_Estudiantes!$D$4:$D$505,MATCH(D64,Base_Estudiantes!$C$4:$C$505,0)),"")</f>
        <v/>
      </c>
      <c r="H64" s="7" t="str">
        <f t="array" ref="H64">IFERROR(INDEX(Base_Estudiantes!$F$4:$F$505,MATCH(D64,Base_Estudiantes!$C$4:$C$505,0)),"")</f>
        <v/>
      </c>
      <c r="I64" s="7" t="str">
        <f t="array" ref="I64">IFERROR(INDEX(Base_Estudiantes!$G$4:$G$505,MATCH(D64,Base_Estudiantes!$C$4:$C$505,0)),"")</f>
        <v/>
      </c>
      <c r="J64" s="7" t="str">
        <f t="array" ref="J64">IFERROR(INDEX(Base_Estudiantes!$H$4:$H$505,MATCH(D64,Base_Estudiantes!$C$4:$C$505,0)),"")</f>
        <v/>
      </c>
      <c r="K64" s="5"/>
      <c r="L64" s="5"/>
      <c r="M64" s="5"/>
      <c r="N64" s="5"/>
      <c r="O64" s="5"/>
      <c r="P64" s="5"/>
      <c r="Q64" s="5"/>
      <c r="R64" s="20"/>
      <c r="S64" s="5"/>
      <c r="T64" s="5"/>
    </row>
    <row r="65" spans="1:20" ht="15.75" customHeight="1">
      <c r="A65" s="19" t="str">
        <f t="shared" si="0"/>
        <v/>
      </c>
      <c r="B65" s="6"/>
      <c r="C65" s="20"/>
      <c r="D65" s="5"/>
      <c r="E65" s="7" t="str">
        <f t="array" ref="E65">IFERROR(INDEX(Base_Estudiantes!$A$4:$A$505,MATCH(D65,Base_Estudiantes!$C$4:$C$505,0)),"")</f>
        <v/>
      </c>
      <c r="F65" s="7" t="str">
        <f t="array" ref="F65">IFERROR(INDEX(Base_Estudiantes!$B$4:$B$505,MATCH(D65,Base_Estudiantes!$C$4:$C$505,0)),"")</f>
        <v/>
      </c>
      <c r="G65" s="7" t="str">
        <f t="array" ref="G65">IFERROR(INDEX(Base_Estudiantes!$D$4:$D$505,MATCH(D65,Base_Estudiantes!$C$4:$C$505,0)),"")</f>
        <v/>
      </c>
      <c r="H65" s="7" t="str">
        <f t="array" ref="H65">IFERROR(INDEX(Base_Estudiantes!$F$4:$F$505,MATCH(D65,Base_Estudiantes!$C$4:$C$505,0)),"")</f>
        <v/>
      </c>
      <c r="I65" s="7" t="str">
        <f t="array" ref="I65">IFERROR(INDEX(Base_Estudiantes!$G$4:$G$505,MATCH(D65,Base_Estudiantes!$C$4:$C$505,0)),"")</f>
        <v/>
      </c>
      <c r="J65" s="7" t="str">
        <f t="array" ref="J65">IFERROR(INDEX(Base_Estudiantes!$H$4:$H$505,MATCH(D65,Base_Estudiantes!$C$4:$C$505,0)),"")</f>
        <v/>
      </c>
      <c r="K65" s="5"/>
      <c r="L65" s="5"/>
      <c r="M65" s="5"/>
      <c r="N65" s="5"/>
      <c r="O65" s="5"/>
      <c r="P65" s="5"/>
      <c r="Q65" s="5"/>
      <c r="R65" s="20"/>
      <c r="S65" s="5"/>
      <c r="T65" s="5"/>
    </row>
    <row r="66" spans="1:20" ht="15.75" customHeight="1">
      <c r="A66" s="19" t="str">
        <f t="shared" si="0"/>
        <v/>
      </c>
      <c r="B66" s="6"/>
      <c r="C66" s="20"/>
      <c r="D66" s="5"/>
      <c r="E66" s="7" t="str">
        <f t="array" ref="E66">IFERROR(INDEX(Base_Estudiantes!$A$4:$A$505,MATCH(D66,Base_Estudiantes!$C$4:$C$505,0)),"")</f>
        <v/>
      </c>
      <c r="F66" s="7" t="str">
        <f t="array" ref="F66">IFERROR(INDEX(Base_Estudiantes!$B$4:$B$505,MATCH(D66,Base_Estudiantes!$C$4:$C$505,0)),"")</f>
        <v/>
      </c>
      <c r="G66" s="7" t="str">
        <f t="array" ref="G66">IFERROR(INDEX(Base_Estudiantes!$D$4:$D$505,MATCH(D66,Base_Estudiantes!$C$4:$C$505,0)),"")</f>
        <v/>
      </c>
      <c r="H66" s="7" t="str">
        <f t="array" ref="H66">IFERROR(INDEX(Base_Estudiantes!$F$4:$F$505,MATCH(D66,Base_Estudiantes!$C$4:$C$505,0)),"")</f>
        <v/>
      </c>
      <c r="I66" s="7" t="str">
        <f t="array" ref="I66">IFERROR(INDEX(Base_Estudiantes!$G$4:$G$505,MATCH(D66,Base_Estudiantes!$C$4:$C$505,0)),"")</f>
        <v/>
      </c>
      <c r="J66" s="7" t="str">
        <f t="array" ref="J66">IFERROR(INDEX(Base_Estudiantes!$H$4:$H$505,MATCH(D66,Base_Estudiantes!$C$4:$C$505,0)),"")</f>
        <v/>
      </c>
      <c r="K66" s="5"/>
      <c r="L66" s="5"/>
      <c r="M66" s="5"/>
      <c r="N66" s="5"/>
      <c r="O66" s="5"/>
      <c r="P66" s="5"/>
      <c r="Q66" s="5"/>
      <c r="R66" s="20"/>
      <c r="S66" s="5"/>
      <c r="T66" s="5"/>
    </row>
    <row r="67" spans="1:20" ht="15.75" customHeight="1">
      <c r="A67" s="19" t="str">
        <f t="shared" si="0"/>
        <v/>
      </c>
      <c r="B67" s="6"/>
      <c r="C67" s="20"/>
      <c r="D67" s="5"/>
      <c r="E67" s="7" t="str">
        <f t="array" ref="E67">IFERROR(INDEX(Base_Estudiantes!$A$4:$A$505,MATCH(D67,Base_Estudiantes!$C$4:$C$505,0)),"")</f>
        <v/>
      </c>
      <c r="F67" s="7" t="str">
        <f t="array" ref="F67">IFERROR(INDEX(Base_Estudiantes!$B$4:$B$505,MATCH(D67,Base_Estudiantes!$C$4:$C$505,0)),"")</f>
        <v/>
      </c>
      <c r="G67" s="7" t="str">
        <f t="array" ref="G67">IFERROR(INDEX(Base_Estudiantes!$D$4:$D$505,MATCH(D67,Base_Estudiantes!$C$4:$C$505,0)),"")</f>
        <v/>
      </c>
      <c r="H67" s="7" t="str">
        <f t="array" ref="H67">IFERROR(INDEX(Base_Estudiantes!$F$4:$F$505,MATCH(D67,Base_Estudiantes!$C$4:$C$505,0)),"")</f>
        <v/>
      </c>
      <c r="I67" s="7" t="str">
        <f t="array" ref="I67">IFERROR(INDEX(Base_Estudiantes!$G$4:$G$505,MATCH(D67,Base_Estudiantes!$C$4:$C$505,0)),"")</f>
        <v/>
      </c>
      <c r="J67" s="7" t="str">
        <f t="array" ref="J67">IFERROR(INDEX(Base_Estudiantes!$H$4:$H$505,MATCH(D67,Base_Estudiantes!$C$4:$C$505,0)),"")</f>
        <v/>
      </c>
      <c r="K67" s="5"/>
      <c r="L67" s="5"/>
      <c r="M67" s="5"/>
      <c r="N67" s="5"/>
      <c r="O67" s="5"/>
      <c r="P67" s="5"/>
      <c r="Q67" s="5"/>
      <c r="R67" s="20"/>
      <c r="S67" s="5"/>
      <c r="T67" s="5"/>
    </row>
    <row r="68" spans="1:20" ht="15.75" customHeight="1">
      <c r="A68" s="19" t="str">
        <f t="shared" si="0"/>
        <v/>
      </c>
      <c r="B68" s="6"/>
      <c r="C68" s="20"/>
      <c r="D68" s="5"/>
      <c r="E68" s="7" t="str">
        <f t="array" ref="E68">IFERROR(INDEX(Base_Estudiantes!$A$4:$A$505,MATCH(D68,Base_Estudiantes!$C$4:$C$505,0)),"")</f>
        <v/>
      </c>
      <c r="F68" s="7" t="str">
        <f t="array" ref="F68">IFERROR(INDEX(Base_Estudiantes!$B$4:$B$505,MATCH(D68,Base_Estudiantes!$C$4:$C$505,0)),"")</f>
        <v/>
      </c>
      <c r="G68" s="7" t="str">
        <f t="array" ref="G68">IFERROR(INDEX(Base_Estudiantes!$D$4:$D$505,MATCH(D68,Base_Estudiantes!$C$4:$C$505,0)),"")</f>
        <v/>
      </c>
      <c r="H68" s="7" t="str">
        <f t="array" ref="H68">IFERROR(INDEX(Base_Estudiantes!$F$4:$F$505,MATCH(D68,Base_Estudiantes!$C$4:$C$505,0)),"")</f>
        <v/>
      </c>
      <c r="I68" s="7" t="str">
        <f t="array" ref="I68">IFERROR(INDEX(Base_Estudiantes!$G$4:$G$505,MATCH(D68,Base_Estudiantes!$C$4:$C$505,0)),"")</f>
        <v/>
      </c>
      <c r="J68" s="7" t="str">
        <f t="array" ref="J68">IFERROR(INDEX(Base_Estudiantes!$H$4:$H$505,MATCH(D68,Base_Estudiantes!$C$4:$C$505,0)),"")</f>
        <v/>
      </c>
      <c r="K68" s="5"/>
      <c r="L68" s="5"/>
      <c r="M68" s="5"/>
      <c r="N68" s="5"/>
      <c r="O68" s="5"/>
      <c r="P68" s="5"/>
      <c r="Q68" s="5"/>
      <c r="R68" s="20"/>
      <c r="S68" s="5"/>
      <c r="T68" s="5"/>
    </row>
    <row r="69" spans="1:20" ht="15.75" customHeight="1">
      <c r="A69" s="19" t="str">
        <f t="shared" si="0"/>
        <v/>
      </c>
      <c r="B69" s="6"/>
      <c r="C69" s="20"/>
      <c r="D69" s="5"/>
      <c r="E69" s="7" t="str">
        <f t="array" ref="E69">IFERROR(INDEX(Base_Estudiantes!$A$4:$A$505,MATCH(D69,Base_Estudiantes!$C$4:$C$505,0)),"")</f>
        <v/>
      </c>
      <c r="F69" s="7" t="str">
        <f t="array" ref="F69">IFERROR(INDEX(Base_Estudiantes!$B$4:$B$505,MATCH(D69,Base_Estudiantes!$C$4:$C$505,0)),"")</f>
        <v/>
      </c>
      <c r="G69" s="7" t="str">
        <f t="array" ref="G69">IFERROR(INDEX(Base_Estudiantes!$D$4:$D$505,MATCH(D69,Base_Estudiantes!$C$4:$C$505,0)),"")</f>
        <v/>
      </c>
      <c r="H69" s="7" t="str">
        <f t="array" ref="H69">IFERROR(INDEX(Base_Estudiantes!$F$4:$F$505,MATCH(D69,Base_Estudiantes!$C$4:$C$505,0)),"")</f>
        <v/>
      </c>
      <c r="I69" s="7" t="str">
        <f t="array" ref="I69">IFERROR(INDEX(Base_Estudiantes!$G$4:$G$505,MATCH(D69,Base_Estudiantes!$C$4:$C$505,0)),"")</f>
        <v/>
      </c>
      <c r="J69" s="7" t="str">
        <f t="array" ref="J69">IFERROR(INDEX(Base_Estudiantes!$H$4:$H$505,MATCH(D69,Base_Estudiantes!$C$4:$C$505,0)),"")</f>
        <v/>
      </c>
      <c r="K69" s="5"/>
      <c r="L69" s="5"/>
      <c r="M69" s="5"/>
      <c r="N69" s="5"/>
      <c r="O69" s="5"/>
      <c r="P69" s="5"/>
      <c r="Q69" s="5"/>
      <c r="R69" s="20"/>
      <c r="S69" s="5"/>
      <c r="T69" s="5"/>
    </row>
    <row r="70" spans="1:20" ht="15.75" customHeight="1">
      <c r="A70" s="19" t="str">
        <f t="shared" si="0"/>
        <v/>
      </c>
      <c r="B70" s="6"/>
      <c r="C70" s="20"/>
      <c r="D70" s="5"/>
      <c r="E70" s="7" t="str">
        <f t="array" ref="E70">IFERROR(INDEX(Base_Estudiantes!$A$4:$A$505,MATCH(D70,Base_Estudiantes!$C$4:$C$505,0)),"")</f>
        <v/>
      </c>
      <c r="F70" s="7" t="str">
        <f t="array" ref="F70">IFERROR(INDEX(Base_Estudiantes!$B$4:$B$505,MATCH(D70,Base_Estudiantes!$C$4:$C$505,0)),"")</f>
        <v/>
      </c>
      <c r="G70" s="7" t="str">
        <f t="array" ref="G70">IFERROR(INDEX(Base_Estudiantes!$D$4:$D$505,MATCH(D70,Base_Estudiantes!$C$4:$C$505,0)),"")</f>
        <v/>
      </c>
      <c r="H70" s="7" t="str">
        <f t="array" ref="H70">IFERROR(INDEX(Base_Estudiantes!$F$4:$F$505,MATCH(D70,Base_Estudiantes!$C$4:$C$505,0)),"")</f>
        <v/>
      </c>
      <c r="I70" s="7" t="str">
        <f t="array" ref="I70">IFERROR(INDEX(Base_Estudiantes!$G$4:$G$505,MATCH(D70,Base_Estudiantes!$C$4:$C$505,0)),"")</f>
        <v/>
      </c>
      <c r="J70" s="7" t="str">
        <f t="array" ref="J70">IFERROR(INDEX(Base_Estudiantes!$H$4:$H$505,MATCH(D70,Base_Estudiantes!$C$4:$C$505,0)),"")</f>
        <v/>
      </c>
      <c r="K70" s="5"/>
      <c r="L70" s="5"/>
      <c r="M70" s="5"/>
      <c r="N70" s="5"/>
      <c r="O70" s="5"/>
      <c r="P70" s="5"/>
      <c r="Q70" s="5"/>
      <c r="R70" s="20"/>
      <c r="S70" s="5"/>
      <c r="T70" s="5"/>
    </row>
    <row r="71" spans="1:20" ht="15.75" customHeight="1">
      <c r="A71" s="19" t="str">
        <f t="shared" si="0"/>
        <v/>
      </c>
      <c r="B71" s="6"/>
      <c r="C71" s="20"/>
      <c r="D71" s="5"/>
      <c r="E71" s="7" t="str">
        <f t="array" ref="E71">IFERROR(INDEX(Base_Estudiantes!$A$4:$A$505,MATCH(D71,Base_Estudiantes!$C$4:$C$505,0)),"")</f>
        <v/>
      </c>
      <c r="F71" s="7" t="str">
        <f t="array" ref="F71">IFERROR(INDEX(Base_Estudiantes!$B$4:$B$505,MATCH(D71,Base_Estudiantes!$C$4:$C$505,0)),"")</f>
        <v/>
      </c>
      <c r="G71" s="7" t="str">
        <f t="array" ref="G71">IFERROR(INDEX(Base_Estudiantes!$D$4:$D$505,MATCH(D71,Base_Estudiantes!$C$4:$C$505,0)),"")</f>
        <v/>
      </c>
      <c r="H71" s="7" t="str">
        <f t="array" ref="H71">IFERROR(INDEX(Base_Estudiantes!$F$4:$F$505,MATCH(D71,Base_Estudiantes!$C$4:$C$505,0)),"")</f>
        <v/>
      </c>
      <c r="I71" s="7" t="str">
        <f t="array" ref="I71">IFERROR(INDEX(Base_Estudiantes!$G$4:$G$505,MATCH(D71,Base_Estudiantes!$C$4:$C$505,0)),"")</f>
        <v/>
      </c>
      <c r="J71" s="7" t="str">
        <f t="array" ref="J71">IFERROR(INDEX(Base_Estudiantes!$H$4:$H$505,MATCH(D71,Base_Estudiantes!$C$4:$C$505,0)),"")</f>
        <v/>
      </c>
      <c r="K71" s="5"/>
      <c r="L71" s="5"/>
      <c r="M71" s="5"/>
      <c r="N71" s="5"/>
      <c r="O71" s="5"/>
      <c r="P71" s="5"/>
      <c r="Q71" s="5"/>
      <c r="R71" s="20"/>
      <c r="S71" s="5"/>
      <c r="T71" s="5"/>
    </row>
    <row r="72" spans="1:20" ht="15.75" customHeight="1">
      <c r="A72" s="19" t="str">
        <f t="shared" si="0"/>
        <v/>
      </c>
      <c r="B72" s="6"/>
      <c r="C72" s="20"/>
      <c r="D72" s="5"/>
      <c r="E72" s="7" t="str">
        <f t="array" ref="E72">IFERROR(INDEX(Base_Estudiantes!$A$4:$A$505,MATCH(D72,Base_Estudiantes!$C$4:$C$505,0)),"")</f>
        <v/>
      </c>
      <c r="F72" s="7" t="str">
        <f t="array" ref="F72">IFERROR(INDEX(Base_Estudiantes!$B$4:$B$505,MATCH(D72,Base_Estudiantes!$C$4:$C$505,0)),"")</f>
        <v/>
      </c>
      <c r="G72" s="7" t="str">
        <f t="array" ref="G72">IFERROR(INDEX(Base_Estudiantes!$D$4:$D$505,MATCH(D72,Base_Estudiantes!$C$4:$C$505,0)),"")</f>
        <v/>
      </c>
      <c r="H72" s="7" t="str">
        <f t="array" ref="H72">IFERROR(INDEX(Base_Estudiantes!$F$4:$F$505,MATCH(D72,Base_Estudiantes!$C$4:$C$505,0)),"")</f>
        <v/>
      </c>
      <c r="I72" s="7" t="str">
        <f t="array" ref="I72">IFERROR(INDEX(Base_Estudiantes!$G$4:$G$505,MATCH(D72,Base_Estudiantes!$C$4:$C$505,0)),"")</f>
        <v/>
      </c>
      <c r="J72" s="7" t="str">
        <f t="array" ref="J72">IFERROR(INDEX(Base_Estudiantes!$H$4:$H$505,MATCH(D72,Base_Estudiantes!$C$4:$C$505,0)),"")</f>
        <v/>
      </c>
      <c r="K72" s="5"/>
      <c r="L72" s="5"/>
      <c r="M72" s="5"/>
      <c r="N72" s="5"/>
      <c r="O72" s="5"/>
      <c r="P72" s="5"/>
      <c r="Q72" s="5"/>
      <c r="R72" s="20"/>
      <c r="S72" s="5"/>
      <c r="T72" s="5"/>
    </row>
    <row r="73" spans="1:20" ht="15.75" customHeight="1">
      <c r="A73" s="19" t="str">
        <f t="shared" si="0"/>
        <v/>
      </c>
      <c r="B73" s="6"/>
      <c r="C73" s="20"/>
      <c r="D73" s="5"/>
      <c r="E73" s="7" t="str">
        <f t="array" ref="E73">IFERROR(INDEX(Base_Estudiantes!$A$4:$A$505,MATCH(D73,Base_Estudiantes!$C$4:$C$505,0)),"")</f>
        <v/>
      </c>
      <c r="F73" s="7" t="str">
        <f t="array" ref="F73">IFERROR(INDEX(Base_Estudiantes!$B$4:$B$505,MATCH(D73,Base_Estudiantes!$C$4:$C$505,0)),"")</f>
        <v/>
      </c>
      <c r="G73" s="7" t="str">
        <f t="array" ref="G73">IFERROR(INDEX(Base_Estudiantes!$D$4:$D$505,MATCH(D73,Base_Estudiantes!$C$4:$C$505,0)),"")</f>
        <v/>
      </c>
      <c r="H73" s="7" t="str">
        <f t="array" ref="H73">IFERROR(INDEX(Base_Estudiantes!$F$4:$F$505,MATCH(D73,Base_Estudiantes!$C$4:$C$505,0)),"")</f>
        <v/>
      </c>
      <c r="I73" s="7" t="str">
        <f t="array" ref="I73">IFERROR(INDEX(Base_Estudiantes!$G$4:$G$505,MATCH(D73,Base_Estudiantes!$C$4:$C$505,0)),"")</f>
        <v/>
      </c>
      <c r="J73" s="7" t="str">
        <f t="array" ref="J73">IFERROR(INDEX(Base_Estudiantes!$H$4:$H$505,MATCH(D73,Base_Estudiantes!$C$4:$C$505,0)),"")</f>
        <v/>
      </c>
      <c r="K73" s="5"/>
      <c r="L73" s="5"/>
      <c r="M73" s="5"/>
      <c r="N73" s="5"/>
      <c r="O73" s="5"/>
      <c r="P73" s="5"/>
      <c r="Q73" s="5"/>
      <c r="R73" s="20"/>
      <c r="S73" s="5"/>
      <c r="T73" s="5"/>
    </row>
    <row r="74" spans="1:20" ht="15.75" customHeight="1">
      <c r="A74" s="19" t="str">
        <f t="shared" si="0"/>
        <v/>
      </c>
      <c r="B74" s="6"/>
      <c r="C74" s="20"/>
      <c r="D74" s="5"/>
      <c r="E74" s="7" t="str">
        <f t="array" ref="E74">IFERROR(INDEX(Base_Estudiantes!$A$4:$A$505,MATCH(D74,Base_Estudiantes!$C$4:$C$505,0)),"")</f>
        <v/>
      </c>
      <c r="F74" s="7" t="str">
        <f t="array" ref="F74">IFERROR(INDEX(Base_Estudiantes!$B$4:$B$505,MATCH(D74,Base_Estudiantes!$C$4:$C$505,0)),"")</f>
        <v/>
      </c>
      <c r="G74" s="7" t="str">
        <f t="array" ref="G74">IFERROR(INDEX(Base_Estudiantes!$D$4:$D$505,MATCH(D74,Base_Estudiantes!$C$4:$C$505,0)),"")</f>
        <v/>
      </c>
      <c r="H74" s="7" t="str">
        <f t="array" ref="H74">IFERROR(INDEX(Base_Estudiantes!$F$4:$F$505,MATCH(D74,Base_Estudiantes!$C$4:$C$505,0)),"")</f>
        <v/>
      </c>
      <c r="I74" s="7" t="str">
        <f t="array" ref="I74">IFERROR(INDEX(Base_Estudiantes!$G$4:$G$505,MATCH(D74,Base_Estudiantes!$C$4:$C$505,0)),"")</f>
        <v/>
      </c>
      <c r="J74" s="7" t="str">
        <f t="array" ref="J74">IFERROR(INDEX(Base_Estudiantes!$H$4:$H$505,MATCH(D74,Base_Estudiantes!$C$4:$C$505,0)),"")</f>
        <v/>
      </c>
      <c r="K74" s="5"/>
      <c r="L74" s="5"/>
      <c r="M74" s="5"/>
      <c r="N74" s="5"/>
      <c r="O74" s="5"/>
      <c r="P74" s="5"/>
      <c r="Q74" s="5"/>
      <c r="R74" s="20"/>
      <c r="S74" s="5"/>
      <c r="T74" s="5"/>
    </row>
    <row r="75" spans="1:20" ht="15.75" customHeight="1">
      <c r="A75" s="19" t="str">
        <f t="shared" si="0"/>
        <v/>
      </c>
      <c r="B75" s="6"/>
      <c r="C75" s="20"/>
      <c r="D75" s="5"/>
      <c r="E75" s="7" t="str">
        <f t="array" ref="E75">IFERROR(INDEX(Base_Estudiantes!$A$4:$A$505,MATCH(D75,Base_Estudiantes!$C$4:$C$505,0)),"")</f>
        <v/>
      </c>
      <c r="F75" s="7" t="str">
        <f t="array" ref="F75">IFERROR(INDEX(Base_Estudiantes!$B$4:$B$505,MATCH(D75,Base_Estudiantes!$C$4:$C$505,0)),"")</f>
        <v/>
      </c>
      <c r="G75" s="7" t="str">
        <f t="array" ref="G75">IFERROR(INDEX(Base_Estudiantes!$D$4:$D$505,MATCH(D75,Base_Estudiantes!$C$4:$C$505,0)),"")</f>
        <v/>
      </c>
      <c r="H75" s="7" t="str">
        <f t="array" ref="H75">IFERROR(INDEX(Base_Estudiantes!$F$4:$F$505,MATCH(D75,Base_Estudiantes!$C$4:$C$505,0)),"")</f>
        <v/>
      </c>
      <c r="I75" s="7" t="str">
        <f t="array" ref="I75">IFERROR(INDEX(Base_Estudiantes!$G$4:$G$505,MATCH(D75,Base_Estudiantes!$C$4:$C$505,0)),"")</f>
        <v/>
      </c>
      <c r="J75" s="7" t="str">
        <f t="array" ref="J75">IFERROR(INDEX(Base_Estudiantes!$H$4:$H$505,MATCH(D75,Base_Estudiantes!$C$4:$C$505,0)),"")</f>
        <v/>
      </c>
      <c r="K75" s="5"/>
      <c r="L75" s="5"/>
      <c r="M75" s="5"/>
      <c r="N75" s="5"/>
      <c r="O75" s="5"/>
      <c r="P75" s="5"/>
      <c r="Q75" s="5"/>
      <c r="R75" s="20"/>
      <c r="S75" s="5"/>
      <c r="T75" s="5"/>
    </row>
    <row r="76" spans="1:20" ht="15.75" customHeight="1">
      <c r="A76" s="19" t="str">
        <f t="shared" si="0"/>
        <v/>
      </c>
      <c r="B76" s="6"/>
      <c r="C76" s="20"/>
      <c r="D76" s="5"/>
      <c r="E76" s="7" t="str">
        <f t="array" ref="E76">IFERROR(INDEX(Base_Estudiantes!$A$4:$A$505,MATCH(D76,Base_Estudiantes!$C$4:$C$505,0)),"")</f>
        <v/>
      </c>
      <c r="F76" s="7" t="str">
        <f t="array" ref="F76">IFERROR(INDEX(Base_Estudiantes!$B$4:$B$505,MATCH(D76,Base_Estudiantes!$C$4:$C$505,0)),"")</f>
        <v/>
      </c>
      <c r="G76" s="7" t="str">
        <f t="array" ref="G76">IFERROR(INDEX(Base_Estudiantes!$D$4:$D$505,MATCH(D76,Base_Estudiantes!$C$4:$C$505,0)),"")</f>
        <v/>
      </c>
      <c r="H76" s="7" t="str">
        <f t="array" ref="H76">IFERROR(INDEX(Base_Estudiantes!$F$4:$F$505,MATCH(D76,Base_Estudiantes!$C$4:$C$505,0)),"")</f>
        <v/>
      </c>
      <c r="I76" s="7" t="str">
        <f t="array" ref="I76">IFERROR(INDEX(Base_Estudiantes!$G$4:$G$505,MATCH(D76,Base_Estudiantes!$C$4:$C$505,0)),"")</f>
        <v/>
      </c>
      <c r="J76" s="7" t="str">
        <f t="array" ref="J76">IFERROR(INDEX(Base_Estudiantes!$H$4:$H$505,MATCH(D76,Base_Estudiantes!$C$4:$C$505,0)),"")</f>
        <v/>
      </c>
      <c r="K76" s="5"/>
      <c r="L76" s="5"/>
      <c r="M76" s="5"/>
      <c r="N76" s="5"/>
      <c r="O76" s="5"/>
      <c r="P76" s="5"/>
      <c r="Q76" s="5"/>
      <c r="R76" s="20"/>
      <c r="S76" s="5"/>
      <c r="T76" s="5"/>
    </row>
    <row r="77" spans="1:20" ht="15.75" customHeight="1">
      <c r="A77" s="19" t="str">
        <f t="shared" si="0"/>
        <v/>
      </c>
      <c r="B77" s="6"/>
      <c r="C77" s="20"/>
      <c r="D77" s="5"/>
      <c r="E77" s="7" t="str">
        <f t="array" ref="E77">IFERROR(INDEX(Base_Estudiantes!$A$4:$A$505,MATCH(D77,Base_Estudiantes!$C$4:$C$505,0)),"")</f>
        <v/>
      </c>
      <c r="F77" s="7" t="str">
        <f t="array" ref="F77">IFERROR(INDEX(Base_Estudiantes!$B$4:$B$505,MATCH(D77,Base_Estudiantes!$C$4:$C$505,0)),"")</f>
        <v/>
      </c>
      <c r="G77" s="7" t="str">
        <f t="array" ref="G77">IFERROR(INDEX(Base_Estudiantes!$D$4:$D$505,MATCH(D77,Base_Estudiantes!$C$4:$C$505,0)),"")</f>
        <v/>
      </c>
      <c r="H77" s="7" t="str">
        <f t="array" ref="H77">IFERROR(INDEX(Base_Estudiantes!$F$4:$F$505,MATCH(D77,Base_Estudiantes!$C$4:$C$505,0)),"")</f>
        <v/>
      </c>
      <c r="I77" s="7" t="str">
        <f t="array" ref="I77">IFERROR(INDEX(Base_Estudiantes!$G$4:$G$505,MATCH(D77,Base_Estudiantes!$C$4:$C$505,0)),"")</f>
        <v/>
      </c>
      <c r="J77" s="7" t="str">
        <f t="array" ref="J77">IFERROR(INDEX(Base_Estudiantes!$H$4:$H$505,MATCH(D77,Base_Estudiantes!$C$4:$C$505,0)),"")</f>
        <v/>
      </c>
      <c r="K77" s="5"/>
      <c r="L77" s="5"/>
      <c r="M77" s="5"/>
      <c r="N77" s="5"/>
      <c r="O77" s="5"/>
      <c r="P77" s="5"/>
      <c r="Q77" s="5"/>
      <c r="R77" s="20"/>
      <c r="S77" s="5"/>
      <c r="T77" s="5"/>
    </row>
    <row r="78" spans="1:20" ht="15.75" customHeight="1">
      <c r="A78" s="19" t="str">
        <f t="shared" si="0"/>
        <v/>
      </c>
      <c r="B78" s="6"/>
      <c r="C78" s="20"/>
      <c r="D78" s="5"/>
      <c r="E78" s="7" t="str">
        <f t="array" ref="E78">IFERROR(INDEX(Base_Estudiantes!$A$4:$A$505,MATCH(D78,Base_Estudiantes!$C$4:$C$505,0)),"")</f>
        <v/>
      </c>
      <c r="F78" s="7" t="str">
        <f t="array" ref="F78">IFERROR(INDEX(Base_Estudiantes!$B$4:$B$505,MATCH(D78,Base_Estudiantes!$C$4:$C$505,0)),"")</f>
        <v/>
      </c>
      <c r="G78" s="7" t="str">
        <f t="array" ref="G78">IFERROR(INDEX(Base_Estudiantes!$D$4:$D$505,MATCH(D78,Base_Estudiantes!$C$4:$C$505,0)),"")</f>
        <v/>
      </c>
      <c r="H78" s="7" t="str">
        <f t="array" ref="H78">IFERROR(INDEX(Base_Estudiantes!$F$4:$F$505,MATCH(D78,Base_Estudiantes!$C$4:$C$505,0)),"")</f>
        <v/>
      </c>
      <c r="I78" s="7" t="str">
        <f t="array" ref="I78">IFERROR(INDEX(Base_Estudiantes!$G$4:$G$505,MATCH(D78,Base_Estudiantes!$C$4:$C$505,0)),"")</f>
        <v/>
      </c>
      <c r="J78" s="7" t="str">
        <f t="array" ref="J78">IFERROR(INDEX(Base_Estudiantes!$H$4:$H$505,MATCH(D78,Base_Estudiantes!$C$4:$C$505,0)),"")</f>
        <v/>
      </c>
      <c r="K78" s="5"/>
      <c r="L78" s="5"/>
      <c r="M78" s="5"/>
      <c r="N78" s="5"/>
      <c r="O78" s="5"/>
      <c r="P78" s="5"/>
      <c r="Q78" s="5"/>
      <c r="R78" s="20"/>
      <c r="S78" s="5"/>
      <c r="T78" s="5"/>
    </row>
    <row r="79" spans="1:20" ht="15.75" customHeight="1">
      <c r="A79" s="19" t="str">
        <f t="shared" si="0"/>
        <v/>
      </c>
      <c r="B79" s="6"/>
      <c r="C79" s="20"/>
      <c r="D79" s="5"/>
      <c r="E79" s="7" t="str">
        <f t="array" ref="E79">IFERROR(INDEX(Base_Estudiantes!$A$4:$A$505,MATCH(D79,Base_Estudiantes!$C$4:$C$505,0)),"")</f>
        <v/>
      </c>
      <c r="F79" s="7" t="str">
        <f t="array" ref="F79">IFERROR(INDEX(Base_Estudiantes!$B$4:$B$505,MATCH(D79,Base_Estudiantes!$C$4:$C$505,0)),"")</f>
        <v/>
      </c>
      <c r="G79" s="7" t="str">
        <f t="array" ref="G79">IFERROR(INDEX(Base_Estudiantes!$D$4:$D$505,MATCH(D79,Base_Estudiantes!$C$4:$C$505,0)),"")</f>
        <v/>
      </c>
      <c r="H79" s="7" t="str">
        <f t="array" ref="H79">IFERROR(INDEX(Base_Estudiantes!$F$4:$F$505,MATCH(D79,Base_Estudiantes!$C$4:$C$505,0)),"")</f>
        <v/>
      </c>
      <c r="I79" s="7" t="str">
        <f t="array" ref="I79">IFERROR(INDEX(Base_Estudiantes!$G$4:$G$505,MATCH(D79,Base_Estudiantes!$C$4:$C$505,0)),"")</f>
        <v/>
      </c>
      <c r="J79" s="7" t="str">
        <f t="array" ref="J79">IFERROR(INDEX(Base_Estudiantes!$H$4:$H$505,MATCH(D79,Base_Estudiantes!$C$4:$C$505,0)),"")</f>
        <v/>
      </c>
      <c r="K79" s="5"/>
      <c r="L79" s="5"/>
      <c r="M79" s="5"/>
      <c r="N79" s="5"/>
      <c r="O79" s="5"/>
      <c r="P79" s="5"/>
      <c r="Q79" s="5"/>
      <c r="R79" s="20"/>
      <c r="S79" s="5"/>
      <c r="T79" s="5"/>
    </row>
    <row r="80" spans="1:20" ht="15.75" customHeight="1">
      <c r="A80" s="19" t="str">
        <f t="shared" si="0"/>
        <v/>
      </c>
      <c r="B80" s="6"/>
      <c r="C80" s="20"/>
      <c r="D80" s="5"/>
      <c r="E80" s="7" t="str">
        <f t="array" ref="E80">IFERROR(INDEX(Base_Estudiantes!$A$4:$A$505,MATCH(D80,Base_Estudiantes!$C$4:$C$505,0)),"")</f>
        <v/>
      </c>
      <c r="F80" s="7" t="str">
        <f t="array" ref="F80">IFERROR(INDEX(Base_Estudiantes!$B$4:$B$505,MATCH(D80,Base_Estudiantes!$C$4:$C$505,0)),"")</f>
        <v/>
      </c>
      <c r="G80" s="7" t="str">
        <f t="array" ref="G80">IFERROR(INDEX(Base_Estudiantes!$D$4:$D$505,MATCH(D80,Base_Estudiantes!$C$4:$C$505,0)),"")</f>
        <v/>
      </c>
      <c r="H80" s="7" t="str">
        <f t="array" ref="H80">IFERROR(INDEX(Base_Estudiantes!$F$4:$F$505,MATCH(D80,Base_Estudiantes!$C$4:$C$505,0)),"")</f>
        <v/>
      </c>
      <c r="I80" s="7" t="str">
        <f t="array" ref="I80">IFERROR(INDEX(Base_Estudiantes!$G$4:$G$505,MATCH(D80,Base_Estudiantes!$C$4:$C$505,0)),"")</f>
        <v/>
      </c>
      <c r="J80" s="7" t="str">
        <f t="array" ref="J80">IFERROR(INDEX(Base_Estudiantes!$H$4:$H$505,MATCH(D80,Base_Estudiantes!$C$4:$C$505,0)),"")</f>
        <v/>
      </c>
      <c r="K80" s="5"/>
      <c r="L80" s="5"/>
      <c r="M80" s="5"/>
      <c r="N80" s="5"/>
      <c r="O80" s="5"/>
      <c r="P80" s="5"/>
      <c r="Q80" s="5"/>
      <c r="R80" s="20"/>
      <c r="S80" s="5"/>
      <c r="T80" s="5"/>
    </row>
    <row r="81" spans="1:20" ht="15.75" customHeight="1">
      <c r="A81" s="19" t="str">
        <f t="shared" si="0"/>
        <v/>
      </c>
      <c r="B81" s="6"/>
      <c r="C81" s="20"/>
      <c r="D81" s="5"/>
      <c r="E81" s="7" t="str">
        <f t="array" ref="E81">IFERROR(INDEX(Base_Estudiantes!$A$4:$A$505,MATCH(D81,Base_Estudiantes!$C$4:$C$505,0)),"")</f>
        <v/>
      </c>
      <c r="F81" s="7" t="str">
        <f t="array" ref="F81">IFERROR(INDEX(Base_Estudiantes!$B$4:$B$505,MATCH(D81,Base_Estudiantes!$C$4:$C$505,0)),"")</f>
        <v/>
      </c>
      <c r="G81" s="7" t="str">
        <f t="array" ref="G81">IFERROR(INDEX(Base_Estudiantes!$D$4:$D$505,MATCH(D81,Base_Estudiantes!$C$4:$C$505,0)),"")</f>
        <v/>
      </c>
      <c r="H81" s="7" t="str">
        <f t="array" ref="H81">IFERROR(INDEX(Base_Estudiantes!$F$4:$F$505,MATCH(D81,Base_Estudiantes!$C$4:$C$505,0)),"")</f>
        <v/>
      </c>
      <c r="I81" s="7" t="str">
        <f t="array" ref="I81">IFERROR(INDEX(Base_Estudiantes!$G$4:$G$505,MATCH(D81,Base_Estudiantes!$C$4:$C$505,0)),"")</f>
        <v/>
      </c>
      <c r="J81" s="7" t="str">
        <f t="array" ref="J81">IFERROR(INDEX(Base_Estudiantes!$H$4:$H$505,MATCH(D81,Base_Estudiantes!$C$4:$C$505,0)),"")</f>
        <v/>
      </c>
      <c r="K81" s="5"/>
      <c r="L81" s="5"/>
      <c r="M81" s="5"/>
      <c r="N81" s="5"/>
      <c r="O81" s="5"/>
      <c r="P81" s="5"/>
      <c r="Q81" s="5"/>
      <c r="R81" s="20"/>
      <c r="S81" s="5"/>
      <c r="T81" s="5"/>
    </row>
    <row r="82" spans="1:20" ht="15.75" customHeight="1">
      <c r="A82" s="19" t="str">
        <f t="shared" si="0"/>
        <v/>
      </c>
      <c r="B82" s="6"/>
      <c r="C82" s="20"/>
      <c r="D82" s="5"/>
      <c r="E82" s="7" t="str">
        <f t="array" ref="E82">IFERROR(INDEX(Base_Estudiantes!$A$4:$A$505,MATCH(D82,Base_Estudiantes!$C$4:$C$505,0)),"")</f>
        <v/>
      </c>
      <c r="F82" s="7" t="str">
        <f t="array" ref="F82">IFERROR(INDEX(Base_Estudiantes!$B$4:$B$505,MATCH(D82,Base_Estudiantes!$C$4:$C$505,0)),"")</f>
        <v/>
      </c>
      <c r="G82" s="7" t="str">
        <f t="array" ref="G82">IFERROR(INDEX(Base_Estudiantes!$D$4:$D$505,MATCH(D82,Base_Estudiantes!$C$4:$C$505,0)),"")</f>
        <v/>
      </c>
      <c r="H82" s="7" t="str">
        <f t="array" ref="H82">IFERROR(INDEX(Base_Estudiantes!$F$4:$F$505,MATCH(D82,Base_Estudiantes!$C$4:$C$505,0)),"")</f>
        <v/>
      </c>
      <c r="I82" s="7" t="str">
        <f t="array" ref="I82">IFERROR(INDEX(Base_Estudiantes!$G$4:$G$505,MATCH(D82,Base_Estudiantes!$C$4:$C$505,0)),"")</f>
        <v/>
      </c>
      <c r="J82" s="7" t="str">
        <f t="array" ref="J82">IFERROR(INDEX(Base_Estudiantes!$H$4:$H$505,MATCH(D82,Base_Estudiantes!$C$4:$C$505,0)),"")</f>
        <v/>
      </c>
      <c r="K82" s="5"/>
      <c r="L82" s="5"/>
      <c r="M82" s="5"/>
      <c r="N82" s="5"/>
      <c r="O82" s="5"/>
      <c r="P82" s="5"/>
      <c r="Q82" s="5"/>
      <c r="R82" s="20"/>
      <c r="S82" s="5"/>
      <c r="T82" s="5"/>
    </row>
    <row r="83" spans="1:20" ht="15.75" customHeight="1">
      <c r="A83" s="19" t="str">
        <f t="shared" si="0"/>
        <v/>
      </c>
      <c r="B83" s="6"/>
      <c r="C83" s="20"/>
      <c r="D83" s="5"/>
      <c r="E83" s="7" t="str">
        <f t="array" ref="E83">IFERROR(INDEX(Base_Estudiantes!$A$4:$A$505,MATCH(D83,Base_Estudiantes!$C$4:$C$505,0)),"")</f>
        <v/>
      </c>
      <c r="F83" s="7" t="str">
        <f t="array" ref="F83">IFERROR(INDEX(Base_Estudiantes!$B$4:$B$505,MATCH(D83,Base_Estudiantes!$C$4:$C$505,0)),"")</f>
        <v/>
      </c>
      <c r="G83" s="7" t="str">
        <f t="array" ref="G83">IFERROR(INDEX(Base_Estudiantes!$D$4:$D$505,MATCH(D83,Base_Estudiantes!$C$4:$C$505,0)),"")</f>
        <v/>
      </c>
      <c r="H83" s="7" t="str">
        <f t="array" ref="H83">IFERROR(INDEX(Base_Estudiantes!$F$4:$F$505,MATCH(D83,Base_Estudiantes!$C$4:$C$505,0)),"")</f>
        <v/>
      </c>
      <c r="I83" s="7" t="str">
        <f t="array" ref="I83">IFERROR(INDEX(Base_Estudiantes!$G$4:$G$505,MATCH(D83,Base_Estudiantes!$C$4:$C$505,0)),"")</f>
        <v/>
      </c>
      <c r="J83" s="7" t="str">
        <f t="array" ref="J83">IFERROR(INDEX(Base_Estudiantes!$H$4:$H$505,MATCH(D83,Base_Estudiantes!$C$4:$C$505,0)),"")</f>
        <v/>
      </c>
      <c r="K83" s="5"/>
      <c r="L83" s="5"/>
      <c r="M83" s="5"/>
      <c r="N83" s="5"/>
      <c r="O83" s="5"/>
      <c r="P83" s="5"/>
      <c r="Q83" s="5"/>
      <c r="R83" s="20"/>
      <c r="S83" s="5"/>
      <c r="T83" s="5"/>
    </row>
    <row r="84" spans="1:20" ht="15.75" customHeight="1">
      <c r="A84" s="19" t="str">
        <f t="shared" si="0"/>
        <v/>
      </c>
      <c r="B84" s="6"/>
      <c r="C84" s="20"/>
      <c r="D84" s="5"/>
      <c r="E84" s="7" t="str">
        <f t="array" ref="E84">IFERROR(INDEX(Base_Estudiantes!$A$4:$A$505,MATCH(D84,Base_Estudiantes!$C$4:$C$505,0)),"")</f>
        <v/>
      </c>
      <c r="F84" s="7" t="str">
        <f t="array" ref="F84">IFERROR(INDEX(Base_Estudiantes!$B$4:$B$505,MATCH(D84,Base_Estudiantes!$C$4:$C$505,0)),"")</f>
        <v/>
      </c>
      <c r="G84" s="7" t="str">
        <f t="array" ref="G84">IFERROR(INDEX(Base_Estudiantes!$D$4:$D$505,MATCH(D84,Base_Estudiantes!$C$4:$C$505,0)),"")</f>
        <v/>
      </c>
      <c r="H84" s="7" t="str">
        <f t="array" ref="H84">IFERROR(INDEX(Base_Estudiantes!$F$4:$F$505,MATCH(D84,Base_Estudiantes!$C$4:$C$505,0)),"")</f>
        <v/>
      </c>
      <c r="I84" s="7" t="str">
        <f t="array" ref="I84">IFERROR(INDEX(Base_Estudiantes!$G$4:$G$505,MATCH(D84,Base_Estudiantes!$C$4:$C$505,0)),"")</f>
        <v/>
      </c>
      <c r="J84" s="7" t="str">
        <f t="array" ref="J84">IFERROR(INDEX(Base_Estudiantes!$H$4:$H$505,MATCH(D84,Base_Estudiantes!$C$4:$C$505,0)),"")</f>
        <v/>
      </c>
      <c r="K84" s="5"/>
      <c r="L84" s="5"/>
      <c r="M84" s="5"/>
      <c r="N84" s="5"/>
      <c r="O84" s="5"/>
      <c r="P84" s="5"/>
      <c r="Q84" s="5"/>
      <c r="R84" s="20"/>
      <c r="S84" s="5"/>
      <c r="T84" s="5"/>
    </row>
    <row r="85" spans="1:20" ht="15.75" customHeight="1">
      <c r="A85" s="19" t="str">
        <f t="shared" si="0"/>
        <v/>
      </c>
      <c r="B85" s="6"/>
      <c r="C85" s="20"/>
      <c r="D85" s="5"/>
      <c r="E85" s="7" t="str">
        <f t="array" ref="E85">IFERROR(INDEX(Base_Estudiantes!$A$4:$A$505,MATCH(D85,Base_Estudiantes!$C$4:$C$505,0)),"")</f>
        <v/>
      </c>
      <c r="F85" s="7" t="str">
        <f t="array" ref="F85">IFERROR(INDEX(Base_Estudiantes!$B$4:$B$505,MATCH(D85,Base_Estudiantes!$C$4:$C$505,0)),"")</f>
        <v/>
      </c>
      <c r="G85" s="7" t="str">
        <f t="array" ref="G85">IFERROR(INDEX(Base_Estudiantes!$D$4:$D$505,MATCH(D85,Base_Estudiantes!$C$4:$C$505,0)),"")</f>
        <v/>
      </c>
      <c r="H85" s="7" t="str">
        <f t="array" ref="H85">IFERROR(INDEX(Base_Estudiantes!$F$4:$F$505,MATCH(D85,Base_Estudiantes!$C$4:$C$505,0)),"")</f>
        <v/>
      </c>
      <c r="I85" s="7" t="str">
        <f t="array" ref="I85">IFERROR(INDEX(Base_Estudiantes!$G$4:$G$505,MATCH(D85,Base_Estudiantes!$C$4:$C$505,0)),"")</f>
        <v/>
      </c>
      <c r="J85" s="7" t="str">
        <f t="array" ref="J85">IFERROR(INDEX(Base_Estudiantes!$H$4:$H$505,MATCH(D85,Base_Estudiantes!$C$4:$C$505,0)),"")</f>
        <v/>
      </c>
      <c r="K85" s="5"/>
      <c r="L85" s="5"/>
      <c r="M85" s="5"/>
      <c r="N85" s="5"/>
      <c r="O85" s="5"/>
      <c r="P85" s="5"/>
      <c r="Q85" s="5"/>
      <c r="R85" s="20"/>
      <c r="S85" s="5"/>
      <c r="T85" s="5"/>
    </row>
    <row r="86" spans="1:20" ht="15.75" customHeight="1">
      <c r="A86" s="19" t="str">
        <f t="shared" si="0"/>
        <v/>
      </c>
      <c r="B86" s="6"/>
      <c r="C86" s="20"/>
      <c r="D86" s="5"/>
      <c r="E86" s="7" t="str">
        <f t="array" ref="E86">IFERROR(INDEX(Base_Estudiantes!$A$4:$A$505,MATCH(D86,Base_Estudiantes!$C$4:$C$505,0)),"")</f>
        <v/>
      </c>
      <c r="F86" s="7" t="str">
        <f t="array" ref="F86">IFERROR(INDEX(Base_Estudiantes!$B$4:$B$505,MATCH(D86,Base_Estudiantes!$C$4:$C$505,0)),"")</f>
        <v/>
      </c>
      <c r="G86" s="7" t="str">
        <f t="array" ref="G86">IFERROR(INDEX(Base_Estudiantes!$D$4:$D$505,MATCH(D86,Base_Estudiantes!$C$4:$C$505,0)),"")</f>
        <v/>
      </c>
      <c r="H86" s="7" t="str">
        <f t="array" ref="H86">IFERROR(INDEX(Base_Estudiantes!$F$4:$F$505,MATCH(D86,Base_Estudiantes!$C$4:$C$505,0)),"")</f>
        <v/>
      </c>
      <c r="I86" s="7" t="str">
        <f t="array" ref="I86">IFERROR(INDEX(Base_Estudiantes!$G$4:$G$505,MATCH(D86,Base_Estudiantes!$C$4:$C$505,0)),"")</f>
        <v/>
      </c>
      <c r="J86" s="7" t="str">
        <f t="array" ref="J86">IFERROR(INDEX(Base_Estudiantes!$H$4:$H$505,MATCH(D86,Base_Estudiantes!$C$4:$C$505,0)),"")</f>
        <v/>
      </c>
      <c r="K86" s="5"/>
      <c r="L86" s="5"/>
      <c r="M86" s="5"/>
      <c r="N86" s="5"/>
      <c r="O86" s="5"/>
      <c r="P86" s="5"/>
      <c r="Q86" s="5"/>
      <c r="R86" s="20"/>
      <c r="S86" s="5"/>
      <c r="T86" s="5"/>
    </row>
    <row r="87" spans="1:20" ht="15.75" customHeight="1">
      <c r="A87" s="19" t="str">
        <f t="shared" si="0"/>
        <v/>
      </c>
      <c r="B87" s="6"/>
      <c r="C87" s="20"/>
      <c r="D87" s="5"/>
      <c r="E87" s="7" t="str">
        <f t="array" ref="E87">IFERROR(INDEX(Base_Estudiantes!$A$4:$A$505,MATCH(D87,Base_Estudiantes!$C$4:$C$505,0)),"")</f>
        <v/>
      </c>
      <c r="F87" s="7" t="str">
        <f t="array" ref="F87">IFERROR(INDEX(Base_Estudiantes!$B$4:$B$505,MATCH(D87,Base_Estudiantes!$C$4:$C$505,0)),"")</f>
        <v/>
      </c>
      <c r="G87" s="7" t="str">
        <f t="array" ref="G87">IFERROR(INDEX(Base_Estudiantes!$D$4:$D$505,MATCH(D87,Base_Estudiantes!$C$4:$C$505,0)),"")</f>
        <v/>
      </c>
      <c r="H87" s="7" t="str">
        <f t="array" ref="H87">IFERROR(INDEX(Base_Estudiantes!$F$4:$F$505,MATCH(D87,Base_Estudiantes!$C$4:$C$505,0)),"")</f>
        <v/>
      </c>
      <c r="I87" s="7" t="str">
        <f t="array" ref="I87">IFERROR(INDEX(Base_Estudiantes!$G$4:$G$505,MATCH(D87,Base_Estudiantes!$C$4:$C$505,0)),"")</f>
        <v/>
      </c>
      <c r="J87" s="7" t="str">
        <f t="array" ref="J87">IFERROR(INDEX(Base_Estudiantes!$H$4:$H$505,MATCH(D87,Base_Estudiantes!$C$4:$C$505,0)),"")</f>
        <v/>
      </c>
      <c r="K87" s="5"/>
      <c r="L87" s="5"/>
      <c r="M87" s="5"/>
      <c r="N87" s="5"/>
      <c r="O87" s="5"/>
      <c r="P87" s="5"/>
      <c r="Q87" s="5"/>
      <c r="R87" s="20"/>
      <c r="S87" s="5"/>
      <c r="T87" s="5"/>
    </row>
    <row r="88" spans="1:20" ht="15.75" customHeight="1">
      <c r="A88" s="19" t="str">
        <f t="shared" si="0"/>
        <v/>
      </c>
      <c r="B88" s="6"/>
      <c r="C88" s="20"/>
      <c r="D88" s="5"/>
      <c r="E88" s="7" t="str">
        <f t="array" ref="E88">IFERROR(INDEX(Base_Estudiantes!$A$4:$A$505,MATCH(D88,Base_Estudiantes!$C$4:$C$505,0)),"")</f>
        <v/>
      </c>
      <c r="F88" s="7" t="str">
        <f t="array" ref="F88">IFERROR(INDEX(Base_Estudiantes!$B$4:$B$505,MATCH(D88,Base_Estudiantes!$C$4:$C$505,0)),"")</f>
        <v/>
      </c>
      <c r="G88" s="7" t="str">
        <f t="array" ref="G88">IFERROR(INDEX(Base_Estudiantes!$D$4:$D$505,MATCH(D88,Base_Estudiantes!$C$4:$C$505,0)),"")</f>
        <v/>
      </c>
      <c r="H88" s="7" t="str">
        <f t="array" ref="H88">IFERROR(INDEX(Base_Estudiantes!$F$4:$F$505,MATCH(D88,Base_Estudiantes!$C$4:$C$505,0)),"")</f>
        <v/>
      </c>
      <c r="I88" s="7" t="str">
        <f t="array" ref="I88">IFERROR(INDEX(Base_Estudiantes!$G$4:$G$505,MATCH(D88,Base_Estudiantes!$C$4:$C$505,0)),"")</f>
        <v/>
      </c>
      <c r="J88" s="7" t="str">
        <f t="array" ref="J88">IFERROR(INDEX(Base_Estudiantes!$H$4:$H$505,MATCH(D88,Base_Estudiantes!$C$4:$C$505,0)),"")</f>
        <v/>
      </c>
      <c r="K88" s="5"/>
      <c r="L88" s="5"/>
      <c r="M88" s="5"/>
      <c r="N88" s="5"/>
      <c r="O88" s="5"/>
      <c r="P88" s="5"/>
      <c r="Q88" s="5"/>
      <c r="R88" s="20"/>
      <c r="S88" s="5"/>
      <c r="T88" s="5"/>
    </row>
    <row r="89" spans="1:20" ht="15.75" customHeight="1">
      <c r="A89" s="19" t="str">
        <f t="shared" si="0"/>
        <v/>
      </c>
      <c r="B89" s="6"/>
      <c r="C89" s="20"/>
      <c r="D89" s="5"/>
      <c r="E89" s="7" t="str">
        <f t="array" ref="E89">IFERROR(INDEX(Base_Estudiantes!$A$4:$A$505,MATCH(D89,Base_Estudiantes!$C$4:$C$505,0)),"")</f>
        <v/>
      </c>
      <c r="F89" s="7" t="str">
        <f t="array" ref="F89">IFERROR(INDEX(Base_Estudiantes!$B$4:$B$505,MATCH(D89,Base_Estudiantes!$C$4:$C$505,0)),"")</f>
        <v/>
      </c>
      <c r="G89" s="7" t="str">
        <f t="array" ref="G89">IFERROR(INDEX(Base_Estudiantes!$D$4:$D$505,MATCH(D89,Base_Estudiantes!$C$4:$C$505,0)),"")</f>
        <v/>
      </c>
      <c r="H89" s="7" t="str">
        <f t="array" ref="H89">IFERROR(INDEX(Base_Estudiantes!$F$4:$F$505,MATCH(D89,Base_Estudiantes!$C$4:$C$505,0)),"")</f>
        <v/>
      </c>
      <c r="I89" s="7" t="str">
        <f t="array" ref="I89">IFERROR(INDEX(Base_Estudiantes!$G$4:$G$505,MATCH(D89,Base_Estudiantes!$C$4:$C$505,0)),"")</f>
        <v/>
      </c>
      <c r="J89" s="7" t="str">
        <f t="array" ref="J89">IFERROR(INDEX(Base_Estudiantes!$H$4:$H$505,MATCH(D89,Base_Estudiantes!$C$4:$C$505,0)),"")</f>
        <v/>
      </c>
      <c r="K89" s="5"/>
      <c r="L89" s="5"/>
      <c r="M89" s="5"/>
      <c r="N89" s="5"/>
      <c r="O89" s="5"/>
      <c r="P89" s="5"/>
      <c r="Q89" s="5"/>
      <c r="R89" s="20"/>
      <c r="S89" s="5"/>
      <c r="T89" s="5"/>
    </row>
    <row r="90" spans="1:20" ht="15.75" customHeight="1">
      <c r="A90" s="19" t="str">
        <f t="shared" si="0"/>
        <v/>
      </c>
      <c r="B90" s="6"/>
      <c r="C90" s="20"/>
      <c r="D90" s="5"/>
      <c r="E90" s="7" t="str">
        <f t="array" ref="E90">IFERROR(INDEX(Base_Estudiantes!$A$4:$A$505,MATCH(D90,Base_Estudiantes!$C$4:$C$505,0)),"")</f>
        <v/>
      </c>
      <c r="F90" s="7" t="str">
        <f t="array" ref="F90">IFERROR(INDEX(Base_Estudiantes!$B$4:$B$505,MATCH(D90,Base_Estudiantes!$C$4:$C$505,0)),"")</f>
        <v/>
      </c>
      <c r="G90" s="7" t="str">
        <f t="array" ref="G90">IFERROR(INDEX(Base_Estudiantes!$D$4:$D$505,MATCH(D90,Base_Estudiantes!$C$4:$C$505,0)),"")</f>
        <v/>
      </c>
      <c r="H90" s="7" t="str">
        <f t="array" ref="H90">IFERROR(INDEX(Base_Estudiantes!$F$4:$F$505,MATCH(D90,Base_Estudiantes!$C$4:$C$505,0)),"")</f>
        <v/>
      </c>
      <c r="I90" s="7" t="str">
        <f t="array" ref="I90">IFERROR(INDEX(Base_Estudiantes!$G$4:$G$505,MATCH(D90,Base_Estudiantes!$C$4:$C$505,0)),"")</f>
        <v/>
      </c>
      <c r="J90" s="7" t="str">
        <f t="array" ref="J90">IFERROR(INDEX(Base_Estudiantes!$H$4:$H$505,MATCH(D90,Base_Estudiantes!$C$4:$C$505,0)),"")</f>
        <v/>
      </c>
      <c r="K90" s="5"/>
      <c r="L90" s="5"/>
      <c r="M90" s="5"/>
      <c r="N90" s="5"/>
      <c r="O90" s="5"/>
      <c r="P90" s="5"/>
      <c r="Q90" s="5"/>
      <c r="R90" s="20"/>
      <c r="S90" s="5"/>
      <c r="T90" s="5"/>
    </row>
    <row r="91" spans="1:20" ht="15.75" customHeight="1">
      <c r="A91" s="19" t="str">
        <f t="shared" si="0"/>
        <v/>
      </c>
      <c r="B91" s="6"/>
      <c r="C91" s="20"/>
      <c r="D91" s="5"/>
      <c r="E91" s="7" t="str">
        <f t="array" ref="E91">IFERROR(INDEX(Base_Estudiantes!$A$4:$A$505,MATCH(D91,Base_Estudiantes!$C$4:$C$505,0)),"")</f>
        <v/>
      </c>
      <c r="F91" s="7" t="str">
        <f t="array" ref="F91">IFERROR(INDEX(Base_Estudiantes!$B$4:$B$505,MATCH(D91,Base_Estudiantes!$C$4:$C$505,0)),"")</f>
        <v/>
      </c>
      <c r="G91" s="7" t="str">
        <f t="array" ref="G91">IFERROR(INDEX(Base_Estudiantes!$D$4:$D$505,MATCH(D91,Base_Estudiantes!$C$4:$C$505,0)),"")</f>
        <v/>
      </c>
      <c r="H91" s="7" t="str">
        <f t="array" ref="H91">IFERROR(INDEX(Base_Estudiantes!$F$4:$F$505,MATCH(D91,Base_Estudiantes!$C$4:$C$505,0)),"")</f>
        <v/>
      </c>
      <c r="I91" s="7" t="str">
        <f t="array" ref="I91">IFERROR(INDEX(Base_Estudiantes!$G$4:$G$505,MATCH(D91,Base_Estudiantes!$C$4:$C$505,0)),"")</f>
        <v/>
      </c>
      <c r="J91" s="7" t="str">
        <f t="array" ref="J91">IFERROR(INDEX(Base_Estudiantes!$H$4:$H$505,MATCH(D91,Base_Estudiantes!$C$4:$C$505,0)),"")</f>
        <v/>
      </c>
      <c r="K91" s="5"/>
      <c r="L91" s="5"/>
      <c r="M91" s="5"/>
      <c r="N91" s="5"/>
      <c r="O91" s="5"/>
      <c r="P91" s="5"/>
      <c r="Q91" s="5"/>
      <c r="R91" s="20"/>
      <c r="S91" s="5"/>
      <c r="T91" s="5"/>
    </row>
    <row r="92" spans="1:20" ht="15.75" customHeight="1">
      <c r="A92" s="19" t="str">
        <f t="shared" si="0"/>
        <v/>
      </c>
      <c r="B92" s="6"/>
      <c r="C92" s="20"/>
      <c r="D92" s="5"/>
      <c r="E92" s="7" t="str">
        <f t="array" ref="E92">IFERROR(INDEX(Base_Estudiantes!$A$4:$A$505,MATCH(D92,Base_Estudiantes!$C$4:$C$505,0)),"")</f>
        <v/>
      </c>
      <c r="F92" s="7" t="str">
        <f t="array" ref="F92">IFERROR(INDEX(Base_Estudiantes!$B$4:$B$505,MATCH(D92,Base_Estudiantes!$C$4:$C$505,0)),"")</f>
        <v/>
      </c>
      <c r="G92" s="7" t="str">
        <f t="array" ref="G92">IFERROR(INDEX(Base_Estudiantes!$D$4:$D$505,MATCH(D92,Base_Estudiantes!$C$4:$C$505,0)),"")</f>
        <v/>
      </c>
      <c r="H92" s="7" t="str">
        <f t="array" ref="H92">IFERROR(INDEX(Base_Estudiantes!$F$4:$F$505,MATCH(D92,Base_Estudiantes!$C$4:$C$505,0)),"")</f>
        <v/>
      </c>
      <c r="I92" s="7" t="str">
        <f t="array" ref="I92">IFERROR(INDEX(Base_Estudiantes!$G$4:$G$505,MATCH(D92,Base_Estudiantes!$C$4:$C$505,0)),"")</f>
        <v/>
      </c>
      <c r="J92" s="7" t="str">
        <f t="array" ref="J92">IFERROR(INDEX(Base_Estudiantes!$H$4:$H$505,MATCH(D92,Base_Estudiantes!$C$4:$C$505,0)),"")</f>
        <v/>
      </c>
      <c r="K92" s="5"/>
      <c r="L92" s="5"/>
      <c r="M92" s="5"/>
      <c r="N92" s="5"/>
      <c r="O92" s="5"/>
      <c r="P92" s="5"/>
      <c r="Q92" s="5"/>
      <c r="R92" s="20"/>
      <c r="S92" s="5"/>
      <c r="T92" s="5"/>
    </row>
    <row r="93" spans="1:20" ht="15.75" customHeight="1">
      <c r="A93" s="19" t="str">
        <f t="shared" si="0"/>
        <v/>
      </c>
      <c r="B93" s="6"/>
      <c r="C93" s="20"/>
      <c r="D93" s="5"/>
      <c r="E93" s="7" t="str">
        <f t="array" ref="E93">IFERROR(INDEX(Base_Estudiantes!$A$4:$A$505,MATCH(D93,Base_Estudiantes!$C$4:$C$505,0)),"")</f>
        <v/>
      </c>
      <c r="F93" s="7" t="str">
        <f t="array" ref="F93">IFERROR(INDEX(Base_Estudiantes!$B$4:$B$505,MATCH(D93,Base_Estudiantes!$C$4:$C$505,0)),"")</f>
        <v/>
      </c>
      <c r="G93" s="7" t="str">
        <f t="array" ref="G93">IFERROR(INDEX(Base_Estudiantes!$D$4:$D$505,MATCH(D93,Base_Estudiantes!$C$4:$C$505,0)),"")</f>
        <v/>
      </c>
      <c r="H93" s="7" t="str">
        <f t="array" ref="H93">IFERROR(INDEX(Base_Estudiantes!$F$4:$F$505,MATCH(D93,Base_Estudiantes!$C$4:$C$505,0)),"")</f>
        <v/>
      </c>
      <c r="I93" s="7" t="str">
        <f t="array" ref="I93">IFERROR(INDEX(Base_Estudiantes!$G$4:$G$505,MATCH(D93,Base_Estudiantes!$C$4:$C$505,0)),"")</f>
        <v/>
      </c>
      <c r="J93" s="7" t="str">
        <f t="array" ref="J93">IFERROR(INDEX(Base_Estudiantes!$H$4:$H$505,MATCH(D93,Base_Estudiantes!$C$4:$C$505,0)),"")</f>
        <v/>
      </c>
      <c r="K93" s="5"/>
      <c r="L93" s="5"/>
      <c r="M93" s="5"/>
      <c r="N93" s="5"/>
      <c r="O93" s="5"/>
      <c r="P93" s="5"/>
      <c r="Q93" s="5"/>
      <c r="R93" s="20"/>
      <c r="S93" s="5"/>
      <c r="T93" s="5"/>
    </row>
    <row r="94" spans="1:20" ht="15.75" customHeight="1">
      <c r="A94" s="19" t="str">
        <f t="shared" si="0"/>
        <v/>
      </c>
      <c r="B94" s="6"/>
      <c r="C94" s="20"/>
      <c r="D94" s="5"/>
      <c r="E94" s="7" t="str">
        <f t="array" ref="E94">IFERROR(INDEX(Base_Estudiantes!$A$4:$A$505,MATCH(D94,Base_Estudiantes!$C$4:$C$505,0)),"")</f>
        <v/>
      </c>
      <c r="F94" s="7" t="str">
        <f t="array" ref="F94">IFERROR(INDEX(Base_Estudiantes!$B$4:$B$505,MATCH(D94,Base_Estudiantes!$C$4:$C$505,0)),"")</f>
        <v/>
      </c>
      <c r="G94" s="7" t="str">
        <f t="array" ref="G94">IFERROR(INDEX(Base_Estudiantes!$D$4:$D$505,MATCH(D94,Base_Estudiantes!$C$4:$C$505,0)),"")</f>
        <v/>
      </c>
      <c r="H94" s="7" t="str">
        <f t="array" ref="H94">IFERROR(INDEX(Base_Estudiantes!$F$4:$F$505,MATCH(D94,Base_Estudiantes!$C$4:$C$505,0)),"")</f>
        <v/>
      </c>
      <c r="I94" s="7" t="str">
        <f t="array" ref="I94">IFERROR(INDEX(Base_Estudiantes!$G$4:$G$505,MATCH(D94,Base_Estudiantes!$C$4:$C$505,0)),"")</f>
        <v/>
      </c>
      <c r="J94" s="7" t="str">
        <f t="array" ref="J94">IFERROR(INDEX(Base_Estudiantes!$H$4:$H$505,MATCH(D94,Base_Estudiantes!$C$4:$C$505,0)),"")</f>
        <v/>
      </c>
      <c r="K94" s="5"/>
      <c r="L94" s="5"/>
      <c r="M94" s="5"/>
      <c r="N94" s="5"/>
      <c r="O94" s="5"/>
      <c r="P94" s="5"/>
      <c r="Q94" s="5"/>
      <c r="R94" s="20"/>
      <c r="S94" s="5"/>
      <c r="T94" s="5"/>
    </row>
    <row r="95" spans="1:20" ht="15.75" customHeight="1">
      <c r="A95" s="19" t="str">
        <f t="shared" si="0"/>
        <v/>
      </c>
      <c r="B95" s="6"/>
      <c r="C95" s="20"/>
      <c r="D95" s="5"/>
      <c r="E95" s="7" t="str">
        <f t="array" ref="E95">IFERROR(INDEX(Base_Estudiantes!$A$4:$A$505,MATCH(D95,Base_Estudiantes!$C$4:$C$505,0)),"")</f>
        <v/>
      </c>
      <c r="F95" s="7" t="str">
        <f t="array" ref="F95">IFERROR(INDEX(Base_Estudiantes!$B$4:$B$505,MATCH(D95,Base_Estudiantes!$C$4:$C$505,0)),"")</f>
        <v/>
      </c>
      <c r="G95" s="7" t="str">
        <f t="array" ref="G95">IFERROR(INDEX(Base_Estudiantes!$D$4:$D$505,MATCH(D95,Base_Estudiantes!$C$4:$C$505,0)),"")</f>
        <v/>
      </c>
      <c r="H95" s="7" t="str">
        <f t="array" ref="H95">IFERROR(INDEX(Base_Estudiantes!$F$4:$F$505,MATCH(D95,Base_Estudiantes!$C$4:$C$505,0)),"")</f>
        <v/>
      </c>
      <c r="I95" s="7" t="str">
        <f t="array" ref="I95">IFERROR(INDEX(Base_Estudiantes!$G$4:$G$505,MATCH(D95,Base_Estudiantes!$C$4:$C$505,0)),"")</f>
        <v/>
      </c>
      <c r="J95" s="7" t="str">
        <f t="array" ref="J95">IFERROR(INDEX(Base_Estudiantes!$H$4:$H$505,MATCH(D95,Base_Estudiantes!$C$4:$C$505,0)),"")</f>
        <v/>
      </c>
      <c r="K95" s="5"/>
      <c r="L95" s="5"/>
      <c r="M95" s="5"/>
      <c r="N95" s="5"/>
      <c r="O95" s="5"/>
      <c r="P95" s="5"/>
      <c r="Q95" s="5"/>
      <c r="R95" s="20"/>
      <c r="S95" s="5"/>
      <c r="T95" s="5"/>
    </row>
    <row r="96" spans="1:20" ht="15.75" customHeight="1">
      <c r="A96" s="19" t="str">
        <f t="shared" si="0"/>
        <v/>
      </c>
      <c r="B96" s="6"/>
      <c r="C96" s="20"/>
      <c r="D96" s="5"/>
      <c r="E96" s="7" t="str">
        <f t="array" ref="E96">IFERROR(INDEX(Base_Estudiantes!$A$4:$A$505,MATCH(D96,Base_Estudiantes!$C$4:$C$505,0)),"")</f>
        <v/>
      </c>
      <c r="F96" s="7" t="str">
        <f t="array" ref="F96">IFERROR(INDEX(Base_Estudiantes!$B$4:$B$505,MATCH(D96,Base_Estudiantes!$C$4:$C$505,0)),"")</f>
        <v/>
      </c>
      <c r="G96" s="7" t="str">
        <f t="array" ref="G96">IFERROR(INDEX(Base_Estudiantes!$D$4:$D$505,MATCH(D96,Base_Estudiantes!$C$4:$C$505,0)),"")</f>
        <v/>
      </c>
      <c r="H96" s="7" t="str">
        <f t="array" ref="H96">IFERROR(INDEX(Base_Estudiantes!$F$4:$F$505,MATCH(D96,Base_Estudiantes!$C$4:$C$505,0)),"")</f>
        <v/>
      </c>
      <c r="I96" s="7" t="str">
        <f t="array" ref="I96">IFERROR(INDEX(Base_Estudiantes!$G$4:$G$505,MATCH(D96,Base_Estudiantes!$C$4:$C$505,0)),"")</f>
        <v/>
      </c>
      <c r="J96" s="7" t="str">
        <f t="array" ref="J96">IFERROR(INDEX(Base_Estudiantes!$H$4:$H$505,MATCH(D96,Base_Estudiantes!$C$4:$C$505,0)),"")</f>
        <v/>
      </c>
      <c r="K96" s="5"/>
      <c r="L96" s="5"/>
      <c r="M96" s="5"/>
      <c r="N96" s="5"/>
      <c r="O96" s="5"/>
      <c r="P96" s="5"/>
      <c r="Q96" s="5"/>
      <c r="R96" s="20"/>
      <c r="S96" s="5"/>
      <c r="T96" s="5"/>
    </row>
    <row r="97" spans="1:20" ht="15.75" customHeight="1">
      <c r="A97" s="19" t="str">
        <f t="shared" si="0"/>
        <v/>
      </c>
      <c r="B97" s="6"/>
      <c r="C97" s="20"/>
      <c r="D97" s="5"/>
      <c r="E97" s="7" t="str">
        <f t="array" ref="E97">IFERROR(INDEX(Base_Estudiantes!$A$4:$A$505,MATCH(D97,Base_Estudiantes!$C$4:$C$505,0)),"")</f>
        <v/>
      </c>
      <c r="F97" s="7" t="str">
        <f t="array" ref="F97">IFERROR(INDEX(Base_Estudiantes!$B$4:$B$505,MATCH(D97,Base_Estudiantes!$C$4:$C$505,0)),"")</f>
        <v/>
      </c>
      <c r="G97" s="7" t="str">
        <f t="array" ref="G97">IFERROR(INDEX(Base_Estudiantes!$D$4:$D$505,MATCH(D97,Base_Estudiantes!$C$4:$C$505,0)),"")</f>
        <v/>
      </c>
      <c r="H97" s="7" t="str">
        <f t="array" ref="H97">IFERROR(INDEX(Base_Estudiantes!$F$4:$F$505,MATCH(D97,Base_Estudiantes!$C$4:$C$505,0)),"")</f>
        <v/>
      </c>
      <c r="I97" s="7" t="str">
        <f t="array" ref="I97">IFERROR(INDEX(Base_Estudiantes!$G$4:$G$505,MATCH(D97,Base_Estudiantes!$C$4:$C$505,0)),"")</f>
        <v/>
      </c>
      <c r="J97" s="7" t="str">
        <f t="array" ref="J97">IFERROR(INDEX(Base_Estudiantes!$H$4:$H$505,MATCH(D97,Base_Estudiantes!$C$4:$C$505,0)),"")</f>
        <v/>
      </c>
      <c r="K97" s="5"/>
      <c r="L97" s="5"/>
      <c r="M97" s="5"/>
      <c r="N97" s="5"/>
      <c r="O97" s="5"/>
      <c r="P97" s="5"/>
      <c r="Q97" s="5"/>
      <c r="R97" s="20"/>
      <c r="S97" s="5"/>
      <c r="T97" s="5"/>
    </row>
    <row r="98" spans="1:20" ht="15.75" customHeight="1">
      <c r="A98" s="19" t="str">
        <f t="shared" si="0"/>
        <v/>
      </c>
      <c r="B98" s="6"/>
      <c r="C98" s="20"/>
      <c r="D98" s="5"/>
      <c r="E98" s="7" t="str">
        <f t="array" ref="E98">IFERROR(INDEX(Base_Estudiantes!$A$4:$A$505,MATCH(D98,Base_Estudiantes!$C$4:$C$505,0)),"")</f>
        <v/>
      </c>
      <c r="F98" s="7" t="str">
        <f t="array" ref="F98">IFERROR(INDEX(Base_Estudiantes!$B$4:$B$505,MATCH(D98,Base_Estudiantes!$C$4:$C$505,0)),"")</f>
        <v/>
      </c>
      <c r="G98" s="7" t="str">
        <f t="array" ref="G98">IFERROR(INDEX(Base_Estudiantes!$D$4:$D$505,MATCH(D98,Base_Estudiantes!$C$4:$C$505,0)),"")</f>
        <v/>
      </c>
      <c r="H98" s="7" t="str">
        <f t="array" ref="H98">IFERROR(INDEX(Base_Estudiantes!$F$4:$F$505,MATCH(D98,Base_Estudiantes!$C$4:$C$505,0)),"")</f>
        <v/>
      </c>
      <c r="I98" s="7" t="str">
        <f t="array" ref="I98">IFERROR(INDEX(Base_Estudiantes!$G$4:$G$505,MATCH(D98,Base_Estudiantes!$C$4:$C$505,0)),"")</f>
        <v/>
      </c>
      <c r="J98" s="7" t="str">
        <f t="array" ref="J98">IFERROR(INDEX(Base_Estudiantes!$H$4:$H$505,MATCH(D98,Base_Estudiantes!$C$4:$C$505,0)),"")</f>
        <v/>
      </c>
      <c r="K98" s="5"/>
      <c r="L98" s="5"/>
      <c r="M98" s="5"/>
      <c r="N98" s="5"/>
      <c r="O98" s="5"/>
      <c r="P98" s="5"/>
      <c r="Q98" s="5"/>
      <c r="R98" s="20"/>
      <c r="S98" s="5"/>
      <c r="T98" s="5"/>
    </row>
    <row r="99" spans="1:20" ht="15.75" customHeight="1">
      <c r="A99" s="19" t="str">
        <f t="shared" si="0"/>
        <v/>
      </c>
      <c r="B99" s="6"/>
      <c r="C99" s="20"/>
      <c r="D99" s="5"/>
      <c r="E99" s="7" t="str">
        <f t="array" ref="E99">IFERROR(INDEX(Base_Estudiantes!$A$4:$A$505,MATCH(D99,Base_Estudiantes!$C$4:$C$505,0)),"")</f>
        <v/>
      </c>
      <c r="F99" s="7" t="str">
        <f t="array" ref="F99">IFERROR(INDEX(Base_Estudiantes!$B$4:$B$505,MATCH(D99,Base_Estudiantes!$C$4:$C$505,0)),"")</f>
        <v/>
      </c>
      <c r="G99" s="7" t="str">
        <f t="array" ref="G99">IFERROR(INDEX(Base_Estudiantes!$D$4:$D$505,MATCH(D99,Base_Estudiantes!$C$4:$C$505,0)),"")</f>
        <v/>
      </c>
      <c r="H99" s="7" t="str">
        <f t="array" ref="H99">IFERROR(INDEX(Base_Estudiantes!$F$4:$F$505,MATCH(D99,Base_Estudiantes!$C$4:$C$505,0)),"")</f>
        <v/>
      </c>
      <c r="I99" s="7" t="str">
        <f t="array" ref="I99">IFERROR(INDEX(Base_Estudiantes!$G$4:$G$505,MATCH(D99,Base_Estudiantes!$C$4:$C$505,0)),"")</f>
        <v/>
      </c>
      <c r="J99" s="7" t="str">
        <f t="array" ref="J99">IFERROR(INDEX(Base_Estudiantes!$H$4:$H$505,MATCH(D99,Base_Estudiantes!$C$4:$C$505,0)),"")</f>
        <v/>
      </c>
      <c r="K99" s="5"/>
      <c r="L99" s="5"/>
      <c r="M99" s="5"/>
      <c r="N99" s="5"/>
      <c r="O99" s="5"/>
      <c r="P99" s="5"/>
      <c r="Q99" s="5"/>
      <c r="R99" s="20"/>
      <c r="S99" s="5"/>
      <c r="T99" s="5"/>
    </row>
    <row r="100" spans="1:20" ht="15.75" customHeight="1">
      <c r="A100" s="19" t="str">
        <f t="shared" si="0"/>
        <v/>
      </c>
      <c r="B100" s="6"/>
      <c r="C100" s="20"/>
      <c r="D100" s="5"/>
      <c r="E100" s="7" t="str">
        <f t="array" ref="E100">IFERROR(INDEX(Base_Estudiantes!$A$4:$A$505,MATCH(D100,Base_Estudiantes!$C$4:$C$505,0)),"")</f>
        <v/>
      </c>
      <c r="F100" s="7" t="str">
        <f t="array" ref="F100">IFERROR(INDEX(Base_Estudiantes!$B$4:$B$505,MATCH(D100,Base_Estudiantes!$C$4:$C$505,0)),"")</f>
        <v/>
      </c>
      <c r="G100" s="7" t="str">
        <f t="array" ref="G100">IFERROR(INDEX(Base_Estudiantes!$D$4:$D$505,MATCH(D100,Base_Estudiantes!$C$4:$C$505,0)),"")</f>
        <v/>
      </c>
      <c r="H100" s="7" t="str">
        <f t="array" ref="H100">IFERROR(INDEX(Base_Estudiantes!$F$4:$F$505,MATCH(D100,Base_Estudiantes!$C$4:$C$505,0)),"")</f>
        <v/>
      </c>
      <c r="I100" s="7" t="str">
        <f t="array" ref="I100">IFERROR(INDEX(Base_Estudiantes!$G$4:$G$505,MATCH(D100,Base_Estudiantes!$C$4:$C$505,0)),"")</f>
        <v/>
      </c>
      <c r="J100" s="7" t="str">
        <f t="array" ref="J100">IFERROR(INDEX(Base_Estudiantes!$H$4:$H$505,MATCH(D100,Base_Estudiantes!$C$4:$C$505,0)),"")</f>
        <v/>
      </c>
      <c r="K100" s="5"/>
      <c r="L100" s="5"/>
      <c r="M100" s="5"/>
      <c r="N100" s="5"/>
      <c r="O100" s="5"/>
      <c r="P100" s="5"/>
      <c r="Q100" s="5"/>
      <c r="R100" s="20"/>
      <c r="S100" s="5"/>
      <c r="T100" s="5"/>
    </row>
    <row r="101" spans="1:20" ht="15.75" customHeight="1">
      <c r="A101" s="19" t="str">
        <f t="shared" si="0"/>
        <v/>
      </c>
      <c r="B101" s="6"/>
      <c r="C101" s="20"/>
      <c r="D101" s="5"/>
      <c r="E101" s="7" t="str">
        <f t="array" ref="E101">IFERROR(INDEX(Base_Estudiantes!$A$4:$A$505,MATCH(D101,Base_Estudiantes!$C$4:$C$505,0)),"")</f>
        <v/>
      </c>
      <c r="F101" s="7" t="str">
        <f t="array" ref="F101">IFERROR(INDEX(Base_Estudiantes!$B$4:$B$505,MATCH(D101,Base_Estudiantes!$C$4:$C$505,0)),"")</f>
        <v/>
      </c>
      <c r="G101" s="7" t="str">
        <f t="array" ref="G101">IFERROR(INDEX(Base_Estudiantes!$D$4:$D$505,MATCH(D101,Base_Estudiantes!$C$4:$C$505,0)),"")</f>
        <v/>
      </c>
      <c r="H101" s="7" t="str">
        <f t="array" ref="H101">IFERROR(INDEX(Base_Estudiantes!$F$4:$F$505,MATCH(D101,Base_Estudiantes!$C$4:$C$505,0)),"")</f>
        <v/>
      </c>
      <c r="I101" s="7" t="str">
        <f t="array" ref="I101">IFERROR(INDEX(Base_Estudiantes!$G$4:$G$505,MATCH(D101,Base_Estudiantes!$C$4:$C$505,0)),"")</f>
        <v/>
      </c>
      <c r="J101" s="7" t="str">
        <f t="array" ref="J101">IFERROR(INDEX(Base_Estudiantes!$H$4:$H$505,MATCH(D101,Base_Estudiantes!$C$4:$C$505,0)),"")</f>
        <v/>
      </c>
      <c r="K101" s="5"/>
      <c r="L101" s="5"/>
      <c r="M101" s="5"/>
      <c r="N101" s="5"/>
      <c r="O101" s="5"/>
      <c r="P101" s="5"/>
      <c r="Q101" s="5"/>
      <c r="R101" s="20"/>
      <c r="S101" s="5"/>
      <c r="T101" s="5"/>
    </row>
    <row r="102" spans="1:20" ht="15.75" customHeight="1">
      <c r="A102" s="19" t="str">
        <f t="shared" si="0"/>
        <v/>
      </c>
      <c r="B102" s="6"/>
      <c r="C102" s="20"/>
      <c r="D102" s="5"/>
      <c r="E102" s="7" t="str">
        <f t="array" ref="E102">IFERROR(INDEX(Base_Estudiantes!$A$4:$A$505,MATCH(D102,Base_Estudiantes!$C$4:$C$505,0)),"")</f>
        <v/>
      </c>
      <c r="F102" s="7" t="str">
        <f t="array" ref="F102">IFERROR(INDEX(Base_Estudiantes!$B$4:$B$505,MATCH(D102,Base_Estudiantes!$C$4:$C$505,0)),"")</f>
        <v/>
      </c>
      <c r="G102" s="7" t="str">
        <f t="array" ref="G102">IFERROR(INDEX(Base_Estudiantes!$D$4:$D$505,MATCH(D102,Base_Estudiantes!$C$4:$C$505,0)),"")</f>
        <v/>
      </c>
      <c r="H102" s="7" t="str">
        <f t="array" ref="H102">IFERROR(INDEX(Base_Estudiantes!$F$4:$F$505,MATCH(D102,Base_Estudiantes!$C$4:$C$505,0)),"")</f>
        <v/>
      </c>
      <c r="I102" s="7" t="str">
        <f t="array" ref="I102">IFERROR(INDEX(Base_Estudiantes!$G$4:$G$505,MATCH(D102,Base_Estudiantes!$C$4:$C$505,0)),"")</f>
        <v/>
      </c>
      <c r="J102" s="7" t="str">
        <f t="array" ref="J102">IFERROR(INDEX(Base_Estudiantes!$H$4:$H$505,MATCH(D102,Base_Estudiantes!$C$4:$C$505,0)),"")</f>
        <v/>
      </c>
      <c r="K102" s="5"/>
      <c r="L102" s="5"/>
      <c r="M102" s="5"/>
      <c r="N102" s="5"/>
      <c r="O102" s="5"/>
      <c r="P102" s="5"/>
      <c r="Q102" s="5"/>
      <c r="R102" s="20"/>
      <c r="S102" s="5"/>
      <c r="T102" s="5"/>
    </row>
    <row r="103" spans="1:20" ht="15.75" customHeight="1">
      <c r="A103" s="19" t="str">
        <f t="shared" si="0"/>
        <v/>
      </c>
      <c r="B103" s="6"/>
      <c r="C103" s="20"/>
      <c r="D103" s="5"/>
      <c r="E103" s="7" t="str">
        <f t="array" ref="E103">IFERROR(INDEX(Base_Estudiantes!$A$4:$A$505,MATCH(D103,Base_Estudiantes!$C$4:$C$505,0)),"")</f>
        <v/>
      </c>
      <c r="F103" s="7" t="str">
        <f t="array" ref="F103">IFERROR(INDEX(Base_Estudiantes!$B$4:$B$505,MATCH(D103,Base_Estudiantes!$C$4:$C$505,0)),"")</f>
        <v/>
      </c>
      <c r="G103" s="7" t="str">
        <f t="array" ref="G103">IFERROR(INDEX(Base_Estudiantes!$D$4:$D$505,MATCH(D103,Base_Estudiantes!$C$4:$C$505,0)),"")</f>
        <v/>
      </c>
      <c r="H103" s="7" t="str">
        <f t="array" ref="H103">IFERROR(INDEX(Base_Estudiantes!$F$4:$F$505,MATCH(D103,Base_Estudiantes!$C$4:$C$505,0)),"")</f>
        <v/>
      </c>
      <c r="I103" s="7" t="str">
        <f t="array" ref="I103">IFERROR(INDEX(Base_Estudiantes!$G$4:$G$505,MATCH(D103,Base_Estudiantes!$C$4:$C$505,0)),"")</f>
        <v/>
      </c>
      <c r="J103" s="7" t="str">
        <f t="array" ref="J103">IFERROR(INDEX(Base_Estudiantes!$H$4:$H$505,MATCH(D103,Base_Estudiantes!$C$4:$C$505,0)),"")</f>
        <v/>
      </c>
      <c r="K103" s="5"/>
      <c r="L103" s="5"/>
      <c r="M103" s="5"/>
      <c r="N103" s="5"/>
      <c r="O103" s="5"/>
      <c r="P103" s="5"/>
      <c r="Q103" s="5"/>
      <c r="R103" s="20"/>
      <c r="S103" s="5"/>
      <c r="T103" s="5"/>
    </row>
    <row r="104" spans="1:20" ht="15.75" customHeight="1">
      <c r="A104" s="19" t="str">
        <f t="shared" si="0"/>
        <v/>
      </c>
      <c r="B104" s="6"/>
      <c r="C104" s="20"/>
      <c r="D104" s="5"/>
      <c r="E104" s="7" t="str">
        <f t="array" ref="E104">IFERROR(INDEX(Base_Estudiantes!$A$4:$A$505,MATCH(D104,Base_Estudiantes!$C$4:$C$505,0)),"")</f>
        <v/>
      </c>
      <c r="F104" s="7" t="str">
        <f t="array" ref="F104">IFERROR(INDEX(Base_Estudiantes!$B$4:$B$505,MATCH(D104,Base_Estudiantes!$C$4:$C$505,0)),"")</f>
        <v/>
      </c>
      <c r="G104" s="7" t="str">
        <f t="array" ref="G104">IFERROR(INDEX(Base_Estudiantes!$D$4:$D$505,MATCH(D104,Base_Estudiantes!$C$4:$C$505,0)),"")</f>
        <v/>
      </c>
      <c r="H104" s="7" t="str">
        <f t="array" ref="H104">IFERROR(INDEX(Base_Estudiantes!$F$4:$F$505,MATCH(D104,Base_Estudiantes!$C$4:$C$505,0)),"")</f>
        <v/>
      </c>
      <c r="I104" s="7" t="str">
        <f t="array" ref="I104">IFERROR(INDEX(Base_Estudiantes!$G$4:$G$505,MATCH(D104,Base_Estudiantes!$C$4:$C$505,0)),"")</f>
        <v/>
      </c>
      <c r="J104" s="7" t="str">
        <f t="array" ref="J104">IFERROR(INDEX(Base_Estudiantes!$H$4:$H$505,MATCH(D104,Base_Estudiantes!$C$4:$C$505,0)),"")</f>
        <v/>
      </c>
      <c r="K104" s="5"/>
      <c r="L104" s="5"/>
      <c r="M104" s="5"/>
      <c r="N104" s="5"/>
      <c r="O104" s="5"/>
      <c r="P104" s="5"/>
      <c r="Q104" s="5"/>
      <c r="R104" s="20"/>
      <c r="S104" s="5"/>
      <c r="T104" s="5"/>
    </row>
    <row r="105" spans="1:20" ht="15.75" customHeight="1">
      <c r="A105" s="19" t="str">
        <f t="shared" si="0"/>
        <v/>
      </c>
      <c r="B105" s="6"/>
      <c r="C105" s="20"/>
      <c r="D105" s="5"/>
      <c r="E105" s="7" t="str">
        <f t="array" ref="E105">IFERROR(INDEX(Base_Estudiantes!$A$4:$A$505,MATCH(D105,Base_Estudiantes!$C$4:$C$505,0)),"")</f>
        <v/>
      </c>
      <c r="F105" s="7" t="str">
        <f t="array" ref="F105">IFERROR(INDEX(Base_Estudiantes!$B$4:$B$505,MATCH(D105,Base_Estudiantes!$C$4:$C$505,0)),"")</f>
        <v/>
      </c>
      <c r="G105" s="7" t="str">
        <f t="array" ref="G105">IFERROR(INDEX(Base_Estudiantes!$D$4:$D$505,MATCH(D105,Base_Estudiantes!$C$4:$C$505,0)),"")</f>
        <v/>
      </c>
      <c r="H105" s="7" t="str">
        <f t="array" ref="H105">IFERROR(INDEX(Base_Estudiantes!$F$4:$F$505,MATCH(D105,Base_Estudiantes!$C$4:$C$505,0)),"")</f>
        <v/>
      </c>
      <c r="I105" s="7" t="str">
        <f t="array" ref="I105">IFERROR(INDEX(Base_Estudiantes!$G$4:$G$505,MATCH(D105,Base_Estudiantes!$C$4:$C$505,0)),"")</f>
        <v/>
      </c>
      <c r="J105" s="7" t="str">
        <f t="array" ref="J105">IFERROR(INDEX(Base_Estudiantes!$H$4:$H$505,MATCH(D105,Base_Estudiantes!$C$4:$C$505,0)),"")</f>
        <v/>
      </c>
      <c r="K105" s="5"/>
      <c r="L105" s="5"/>
      <c r="M105" s="5"/>
      <c r="N105" s="5"/>
      <c r="O105" s="5"/>
      <c r="P105" s="5"/>
      <c r="Q105" s="5"/>
      <c r="R105" s="20"/>
      <c r="S105" s="5"/>
      <c r="T105" s="5"/>
    </row>
    <row r="106" spans="1:20" ht="15.75" customHeight="1">
      <c r="A106" s="19" t="str">
        <f t="shared" si="0"/>
        <v/>
      </c>
      <c r="B106" s="6"/>
      <c r="C106" s="20"/>
      <c r="D106" s="5"/>
      <c r="E106" s="7" t="str">
        <f t="array" ref="E106">IFERROR(INDEX(Base_Estudiantes!$A$4:$A$505,MATCH(D106,Base_Estudiantes!$C$4:$C$505,0)),"")</f>
        <v/>
      </c>
      <c r="F106" s="7" t="str">
        <f t="array" ref="F106">IFERROR(INDEX(Base_Estudiantes!$B$4:$B$505,MATCH(D106,Base_Estudiantes!$C$4:$C$505,0)),"")</f>
        <v/>
      </c>
      <c r="G106" s="7" t="str">
        <f t="array" ref="G106">IFERROR(INDEX(Base_Estudiantes!$D$4:$D$505,MATCH(D106,Base_Estudiantes!$C$4:$C$505,0)),"")</f>
        <v/>
      </c>
      <c r="H106" s="7" t="str">
        <f t="array" ref="H106">IFERROR(INDEX(Base_Estudiantes!$F$4:$F$505,MATCH(D106,Base_Estudiantes!$C$4:$C$505,0)),"")</f>
        <v/>
      </c>
      <c r="I106" s="7" t="str">
        <f t="array" ref="I106">IFERROR(INDEX(Base_Estudiantes!$G$4:$G$505,MATCH(D106,Base_Estudiantes!$C$4:$C$505,0)),"")</f>
        <v/>
      </c>
      <c r="J106" s="7" t="str">
        <f t="array" ref="J106">IFERROR(INDEX(Base_Estudiantes!$H$4:$H$505,MATCH(D106,Base_Estudiantes!$C$4:$C$505,0)),"")</f>
        <v/>
      </c>
      <c r="K106" s="5"/>
      <c r="L106" s="5"/>
      <c r="M106" s="5"/>
      <c r="N106" s="5"/>
      <c r="O106" s="5"/>
      <c r="P106" s="5"/>
      <c r="Q106" s="5"/>
      <c r="R106" s="20"/>
      <c r="S106" s="5"/>
      <c r="T106" s="5"/>
    </row>
    <row r="107" spans="1:20" ht="15.75" customHeight="1">
      <c r="A107" s="19" t="str">
        <f t="shared" si="0"/>
        <v/>
      </c>
      <c r="B107" s="6"/>
      <c r="C107" s="20"/>
      <c r="D107" s="5"/>
      <c r="E107" s="7" t="str">
        <f t="array" ref="E107">IFERROR(INDEX(Base_Estudiantes!$A$4:$A$505,MATCH(D107,Base_Estudiantes!$C$4:$C$505,0)),"")</f>
        <v/>
      </c>
      <c r="F107" s="7" t="str">
        <f t="array" ref="F107">IFERROR(INDEX(Base_Estudiantes!$B$4:$B$505,MATCH(D107,Base_Estudiantes!$C$4:$C$505,0)),"")</f>
        <v/>
      </c>
      <c r="G107" s="7" t="str">
        <f t="array" ref="G107">IFERROR(INDEX(Base_Estudiantes!$D$4:$D$505,MATCH(D107,Base_Estudiantes!$C$4:$C$505,0)),"")</f>
        <v/>
      </c>
      <c r="H107" s="7" t="str">
        <f t="array" ref="H107">IFERROR(INDEX(Base_Estudiantes!$F$4:$F$505,MATCH(D107,Base_Estudiantes!$C$4:$C$505,0)),"")</f>
        <v/>
      </c>
      <c r="I107" s="7" t="str">
        <f t="array" ref="I107">IFERROR(INDEX(Base_Estudiantes!$G$4:$G$505,MATCH(D107,Base_Estudiantes!$C$4:$C$505,0)),"")</f>
        <v/>
      </c>
      <c r="J107" s="7" t="str">
        <f t="array" ref="J107">IFERROR(INDEX(Base_Estudiantes!$H$4:$H$505,MATCH(D107,Base_Estudiantes!$C$4:$C$505,0)),"")</f>
        <v/>
      </c>
      <c r="K107" s="5"/>
      <c r="L107" s="5"/>
      <c r="M107" s="5"/>
      <c r="N107" s="5"/>
      <c r="O107" s="5"/>
      <c r="P107" s="5"/>
      <c r="Q107" s="5"/>
      <c r="R107" s="20"/>
      <c r="S107" s="5"/>
      <c r="T107" s="5"/>
    </row>
    <row r="108" spans="1:20" ht="15.75" customHeight="1">
      <c r="A108" s="19" t="str">
        <f t="shared" si="0"/>
        <v/>
      </c>
      <c r="B108" s="6"/>
      <c r="C108" s="20"/>
      <c r="D108" s="5"/>
      <c r="E108" s="7" t="str">
        <f t="array" ref="E108">IFERROR(INDEX(Base_Estudiantes!$A$4:$A$505,MATCH(D108,Base_Estudiantes!$C$4:$C$505,0)),"")</f>
        <v/>
      </c>
      <c r="F108" s="7" t="str">
        <f t="array" ref="F108">IFERROR(INDEX(Base_Estudiantes!$B$4:$B$505,MATCH(D108,Base_Estudiantes!$C$4:$C$505,0)),"")</f>
        <v/>
      </c>
      <c r="G108" s="7" t="str">
        <f t="array" ref="G108">IFERROR(INDEX(Base_Estudiantes!$D$4:$D$505,MATCH(D108,Base_Estudiantes!$C$4:$C$505,0)),"")</f>
        <v/>
      </c>
      <c r="H108" s="7" t="str">
        <f t="array" ref="H108">IFERROR(INDEX(Base_Estudiantes!$F$4:$F$505,MATCH(D108,Base_Estudiantes!$C$4:$C$505,0)),"")</f>
        <v/>
      </c>
      <c r="I108" s="7" t="str">
        <f t="array" ref="I108">IFERROR(INDEX(Base_Estudiantes!$G$4:$G$505,MATCH(D108,Base_Estudiantes!$C$4:$C$505,0)),"")</f>
        <v/>
      </c>
      <c r="J108" s="7" t="str">
        <f t="array" ref="J108">IFERROR(INDEX(Base_Estudiantes!$H$4:$H$505,MATCH(D108,Base_Estudiantes!$C$4:$C$505,0)),"")</f>
        <v/>
      </c>
      <c r="K108" s="5"/>
      <c r="L108" s="5"/>
      <c r="M108" s="5"/>
      <c r="N108" s="5"/>
      <c r="O108" s="5"/>
      <c r="P108" s="5"/>
      <c r="Q108" s="5"/>
      <c r="R108" s="20"/>
      <c r="S108" s="5"/>
      <c r="T108" s="5"/>
    </row>
    <row r="109" spans="1:20" ht="15.75" customHeight="1">
      <c r="A109" s="19" t="str">
        <f t="shared" si="0"/>
        <v/>
      </c>
      <c r="B109" s="6"/>
      <c r="C109" s="20"/>
      <c r="D109" s="5"/>
      <c r="E109" s="7" t="str">
        <f t="array" ref="E109">IFERROR(INDEX(Base_Estudiantes!$A$4:$A$505,MATCH(D109,Base_Estudiantes!$C$4:$C$505,0)),"")</f>
        <v/>
      </c>
      <c r="F109" s="7" t="str">
        <f t="array" ref="F109">IFERROR(INDEX(Base_Estudiantes!$B$4:$B$505,MATCH(D109,Base_Estudiantes!$C$4:$C$505,0)),"")</f>
        <v/>
      </c>
      <c r="G109" s="7" t="str">
        <f t="array" ref="G109">IFERROR(INDEX(Base_Estudiantes!$D$4:$D$505,MATCH(D109,Base_Estudiantes!$C$4:$C$505,0)),"")</f>
        <v/>
      </c>
      <c r="H109" s="7" t="str">
        <f t="array" ref="H109">IFERROR(INDEX(Base_Estudiantes!$F$4:$F$505,MATCH(D109,Base_Estudiantes!$C$4:$C$505,0)),"")</f>
        <v/>
      </c>
      <c r="I109" s="7" t="str">
        <f t="array" ref="I109">IFERROR(INDEX(Base_Estudiantes!$G$4:$G$505,MATCH(D109,Base_Estudiantes!$C$4:$C$505,0)),"")</f>
        <v/>
      </c>
      <c r="J109" s="7" t="str">
        <f t="array" ref="J109">IFERROR(INDEX(Base_Estudiantes!$H$4:$H$505,MATCH(D109,Base_Estudiantes!$C$4:$C$505,0)),"")</f>
        <v/>
      </c>
      <c r="K109" s="5"/>
      <c r="L109" s="5"/>
      <c r="M109" s="5"/>
      <c r="N109" s="5"/>
      <c r="O109" s="5"/>
      <c r="P109" s="5"/>
      <c r="Q109" s="5"/>
      <c r="R109" s="20"/>
      <c r="S109" s="5"/>
      <c r="T109" s="5"/>
    </row>
    <row r="110" spans="1:20" ht="15.75" customHeight="1">
      <c r="A110" s="19" t="str">
        <f t="shared" si="0"/>
        <v/>
      </c>
      <c r="B110" s="6"/>
      <c r="C110" s="20"/>
      <c r="D110" s="5"/>
      <c r="E110" s="7" t="str">
        <f t="array" ref="E110">IFERROR(INDEX(Base_Estudiantes!$A$4:$A$505,MATCH(D110,Base_Estudiantes!$C$4:$C$505,0)),"")</f>
        <v/>
      </c>
      <c r="F110" s="7" t="str">
        <f t="array" ref="F110">IFERROR(INDEX(Base_Estudiantes!$B$4:$B$505,MATCH(D110,Base_Estudiantes!$C$4:$C$505,0)),"")</f>
        <v/>
      </c>
      <c r="G110" s="7" t="str">
        <f t="array" ref="G110">IFERROR(INDEX(Base_Estudiantes!$D$4:$D$505,MATCH(D110,Base_Estudiantes!$C$4:$C$505,0)),"")</f>
        <v/>
      </c>
      <c r="H110" s="7" t="str">
        <f t="array" ref="H110">IFERROR(INDEX(Base_Estudiantes!$F$4:$F$505,MATCH(D110,Base_Estudiantes!$C$4:$C$505,0)),"")</f>
        <v/>
      </c>
      <c r="I110" s="7" t="str">
        <f t="array" ref="I110">IFERROR(INDEX(Base_Estudiantes!$G$4:$G$505,MATCH(D110,Base_Estudiantes!$C$4:$C$505,0)),"")</f>
        <v/>
      </c>
      <c r="J110" s="7" t="str">
        <f t="array" ref="J110">IFERROR(INDEX(Base_Estudiantes!$H$4:$H$505,MATCH(D110,Base_Estudiantes!$C$4:$C$505,0)),"")</f>
        <v/>
      </c>
      <c r="K110" s="5"/>
      <c r="L110" s="5"/>
      <c r="M110" s="5"/>
      <c r="N110" s="5"/>
      <c r="O110" s="5"/>
      <c r="P110" s="5"/>
      <c r="Q110" s="5"/>
      <c r="R110" s="20"/>
      <c r="S110" s="5"/>
      <c r="T110" s="5"/>
    </row>
    <row r="111" spans="1:20" ht="15.75" customHeight="1">
      <c r="A111" s="19" t="str">
        <f t="shared" si="0"/>
        <v/>
      </c>
      <c r="B111" s="6"/>
      <c r="C111" s="20"/>
      <c r="D111" s="5"/>
      <c r="E111" s="7" t="str">
        <f t="array" ref="E111">IFERROR(INDEX(Base_Estudiantes!$A$4:$A$505,MATCH(D111,Base_Estudiantes!$C$4:$C$505,0)),"")</f>
        <v/>
      </c>
      <c r="F111" s="7" t="str">
        <f t="array" ref="F111">IFERROR(INDEX(Base_Estudiantes!$B$4:$B$505,MATCH(D111,Base_Estudiantes!$C$4:$C$505,0)),"")</f>
        <v/>
      </c>
      <c r="G111" s="7" t="str">
        <f t="array" ref="G111">IFERROR(INDEX(Base_Estudiantes!$D$4:$D$505,MATCH(D111,Base_Estudiantes!$C$4:$C$505,0)),"")</f>
        <v/>
      </c>
      <c r="H111" s="7" t="str">
        <f t="array" ref="H111">IFERROR(INDEX(Base_Estudiantes!$F$4:$F$505,MATCH(D111,Base_Estudiantes!$C$4:$C$505,0)),"")</f>
        <v/>
      </c>
      <c r="I111" s="7" t="str">
        <f t="array" ref="I111">IFERROR(INDEX(Base_Estudiantes!$G$4:$G$505,MATCH(D111,Base_Estudiantes!$C$4:$C$505,0)),"")</f>
        <v/>
      </c>
      <c r="J111" s="7" t="str">
        <f t="array" ref="J111">IFERROR(INDEX(Base_Estudiantes!$H$4:$H$505,MATCH(D111,Base_Estudiantes!$C$4:$C$505,0)),"")</f>
        <v/>
      </c>
      <c r="K111" s="5"/>
      <c r="L111" s="5"/>
      <c r="M111" s="5"/>
      <c r="N111" s="5"/>
      <c r="O111" s="5"/>
      <c r="P111" s="5"/>
      <c r="Q111" s="5"/>
      <c r="R111" s="20"/>
      <c r="S111" s="5"/>
      <c r="T111" s="5"/>
    </row>
    <row r="112" spans="1:20" ht="15.75" customHeight="1">
      <c r="A112" s="19" t="str">
        <f t="shared" si="0"/>
        <v/>
      </c>
      <c r="B112" s="6"/>
      <c r="C112" s="20"/>
      <c r="D112" s="5"/>
      <c r="E112" s="7" t="str">
        <f t="array" ref="E112">IFERROR(INDEX(Base_Estudiantes!$A$4:$A$505,MATCH(D112,Base_Estudiantes!$C$4:$C$505,0)),"")</f>
        <v/>
      </c>
      <c r="F112" s="7" t="str">
        <f t="array" ref="F112">IFERROR(INDEX(Base_Estudiantes!$B$4:$B$505,MATCH(D112,Base_Estudiantes!$C$4:$C$505,0)),"")</f>
        <v/>
      </c>
      <c r="G112" s="7" t="str">
        <f t="array" ref="G112">IFERROR(INDEX(Base_Estudiantes!$D$4:$D$505,MATCH(D112,Base_Estudiantes!$C$4:$C$505,0)),"")</f>
        <v/>
      </c>
      <c r="H112" s="7" t="str">
        <f t="array" ref="H112">IFERROR(INDEX(Base_Estudiantes!$F$4:$F$505,MATCH(D112,Base_Estudiantes!$C$4:$C$505,0)),"")</f>
        <v/>
      </c>
      <c r="I112" s="7" t="str">
        <f t="array" ref="I112">IFERROR(INDEX(Base_Estudiantes!$G$4:$G$505,MATCH(D112,Base_Estudiantes!$C$4:$C$505,0)),"")</f>
        <v/>
      </c>
      <c r="J112" s="7" t="str">
        <f t="array" ref="J112">IFERROR(INDEX(Base_Estudiantes!$H$4:$H$505,MATCH(D112,Base_Estudiantes!$C$4:$C$505,0)),"")</f>
        <v/>
      </c>
      <c r="K112" s="5"/>
      <c r="L112" s="5"/>
      <c r="M112" s="5"/>
      <c r="N112" s="5"/>
      <c r="O112" s="5"/>
      <c r="P112" s="5"/>
      <c r="Q112" s="5"/>
      <c r="R112" s="20"/>
      <c r="S112" s="5"/>
      <c r="T112" s="5"/>
    </row>
    <row r="113" spans="1:20" ht="15.75" customHeight="1">
      <c r="A113" s="19" t="str">
        <f t="shared" si="0"/>
        <v/>
      </c>
      <c r="B113" s="6"/>
      <c r="C113" s="20"/>
      <c r="D113" s="5"/>
      <c r="E113" s="7" t="str">
        <f t="array" ref="E113">IFERROR(INDEX(Base_Estudiantes!$A$4:$A$505,MATCH(D113,Base_Estudiantes!$C$4:$C$505,0)),"")</f>
        <v/>
      </c>
      <c r="F113" s="7" t="str">
        <f t="array" ref="F113">IFERROR(INDEX(Base_Estudiantes!$B$4:$B$505,MATCH(D113,Base_Estudiantes!$C$4:$C$505,0)),"")</f>
        <v/>
      </c>
      <c r="G113" s="7" t="str">
        <f t="array" ref="G113">IFERROR(INDEX(Base_Estudiantes!$D$4:$D$505,MATCH(D113,Base_Estudiantes!$C$4:$C$505,0)),"")</f>
        <v/>
      </c>
      <c r="H113" s="7" t="str">
        <f t="array" ref="H113">IFERROR(INDEX(Base_Estudiantes!$F$4:$F$505,MATCH(D113,Base_Estudiantes!$C$4:$C$505,0)),"")</f>
        <v/>
      </c>
      <c r="I113" s="7" t="str">
        <f t="array" ref="I113">IFERROR(INDEX(Base_Estudiantes!$G$4:$G$505,MATCH(D113,Base_Estudiantes!$C$4:$C$505,0)),"")</f>
        <v/>
      </c>
      <c r="J113" s="7" t="str">
        <f t="array" ref="J113">IFERROR(INDEX(Base_Estudiantes!$H$4:$H$505,MATCH(D113,Base_Estudiantes!$C$4:$C$505,0)),"")</f>
        <v/>
      </c>
      <c r="K113" s="5"/>
      <c r="L113" s="5"/>
      <c r="M113" s="5"/>
      <c r="N113" s="5"/>
      <c r="O113" s="5"/>
      <c r="P113" s="5"/>
      <c r="Q113" s="5"/>
      <c r="R113" s="20"/>
      <c r="S113" s="5"/>
      <c r="T113" s="5"/>
    </row>
    <row r="114" spans="1:20" ht="15.75" customHeight="1">
      <c r="A114" s="19" t="str">
        <f t="shared" si="0"/>
        <v/>
      </c>
      <c r="B114" s="6"/>
      <c r="C114" s="20"/>
      <c r="D114" s="5"/>
      <c r="E114" s="7" t="str">
        <f t="array" ref="E114">IFERROR(INDEX(Base_Estudiantes!$A$4:$A$505,MATCH(D114,Base_Estudiantes!$C$4:$C$505,0)),"")</f>
        <v/>
      </c>
      <c r="F114" s="7" t="str">
        <f t="array" ref="F114">IFERROR(INDEX(Base_Estudiantes!$B$4:$B$505,MATCH(D114,Base_Estudiantes!$C$4:$C$505,0)),"")</f>
        <v/>
      </c>
      <c r="G114" s="7" t="str">
        <f t="array" ref="G114">IFERROR(INDEX(Base_Estudiantes!$D$4:$D$505,MATCH(D114,Base_Estudiantes!$C$4:$C$505,0)),"")</f>
        <v/>
      </c>
      <c r="H114" s="7" t="str">
        <f t="array" ref="H114">IFERROR(INDEX(Base_Estudiantes!$F$4:$F$505,MATCH(D114,Base_Estudiantes!$C$4:$C$505,0)),"")</f>
        <v/>
      </c>
      <c r="I114" s="7" t="str">
        <f t="array" ref="I114">IFERROR(INDEX(Base_Estudiantes!$G$4:$G$505,MATCH(D114,Base_Estudiantes!$C$4:$C$505,0)),"")</f>
        <v/>
      </c>
      <c r="J114" s="7" t="str">
        <f t="array" ref="J114">IFERROR(INDEX(Base_Estudiantes!$H$4:$H$505,MATCH(D114,Base_Estudiantes!$C$4:$C$505,0)),"")</f>
        <v/>
      </c>
      <c r="K114" s="5"/>
      <c r="L114" s="5"/>
      <c r="M114" s="5"/>
      <c r="N114" s="5"/>
      <c r="O114" s="5"/>
      <c r="P114" s="5"/>
      <c r="Q114" s="5"/>
      <c r="R114" s="20"/>
      <c r="S114" s="5"/>
      <c r="T114" s="5"/>
    </row>
    <row r="115" spans="1:20" ht="15.75" customHeight="1">
      <c r="A115" s="19" t="str">
        <f t="shared" si="0"/>
        <v/>
      </c>
      <c r="B115" s="6"/>
      <c r="C115" s="20"/>
      <c r="D115" s="5"/>
      <c r="E115" s="7" t="str">
        <f t="array" ref="E115">IFERROR(INDEX(Base_Estudiantes!$A$4:$A$505,MATCH(D115,Base_Estudiantes!$C$4:$C$505,0)),"")</f>
        <v/>
      </c>
      <c r="F115" s="7" t="str">
        <f t="array" ref="F115">IFERROR(INDEX(Base_Estudiantes!$B$4:$B$505,MATCH(D115,Base_Estudiantes!$C$4:$C$505,0)),"")</f>
        <v/>
      </c>
      <c r="G115" s="7" t="str">
        <f t="array" ref="G115">IFERROR(INDEX(Base_Estudiantes!$D$4:$D$505,MATCH(D115,Base_Estudiantes!$C$4:$C$505,0)),"")</f>
        <v/>
      </c>
      <c r="H115" s="7" t="str">
        <f t="array" ref="H115">IFERROR(INDEX(Base_Estudiantes!$F$4:$F$505,MATCH(D115,Base_Estudiantes!$C$4:$C$505,0)),"")</f>
        <v/>
      </c>
      <c r="I115" s="7" t="str">
        <f t="array" ref="I115">IFERROR(INDEX(Base_Estudiantes!$G$4:$G$505,MATCH(D115,Base_Estudiantes!$C$4:$C$505,0)),"")</f>
        <v/>
      </c>
      <c r="J115" s="7" t="str">
        <f t="array" ref="J115">IFERROR(INDEX(Base_Estudiantes!$H$4:$H$505,MATCH(D115,Base_Estudiantes!$C$4:$C$505,0)),"")</f>
        <v/>
      </c>
      <c r="K115" s="5"/>
      <c r="L115" s="5"/>
      <c r="M115" s="5"/>
      <c r="N115" s="5"/>
      <c r="O115" s="5"/>
      <c r="P115" s="5"/>
      <c r="Q115" s="5"/>
      <c r="R115" s="20"/>
      <c r="S115" s="5"/>
      <c r="T115" s="5"/>
    </row>
    <row r="116" spans="1:20" ht="15.75" customHeight="1">
      <c r="A116" s="19" t="str">
        <f t="shared" si="0"/>
        <v/>
      </c>
      <c r="B116" s="6"/>
      <c r="C116" s="20"/>
      <c r="D116" s="5"/>
      <c r="E116" s="7" t="str">
        <f t="array" ref="E116">IFERROR(INDEX(Base_Estudiantes!$A$4:$A$505,MATCH(D116,Base_Estudiantes!$C$4:$C$505,0)),"")</f>
        <v/>
      </c>
      <c r="F116" s="7" t="str">
        <f t="array" ref="F116">IFERROR(INDEX(Base_Estudiantes!$B$4:$B$505,MATCH(D116,Base_Estudiantes!$C$4:$C$505,0)),"")</f>
        <v/>
      </c>
      <c r="G116" s="7" t="str">
        <f t="array" ref="G116">IFERROR(INDEX(Base_Estudiantes!$D$4:$D$505,MATCH(D116,Base_Estudiantes!$C$4:$C$505,0)),"")</f>
        <v/>
      </c>
      <c r="H116" s="7" t="str">
        <f t="array" ref="H116">IFERROR(INDEX(Base_Estudiantes!$F$4:$F$505,MATCH(D116,Base_Estudiantes!$C$4:$C$505,0)),"")</f>
        <v/>
      </c>
      <c r="I116" s="7" t="str">
        <f t="array" ref="I116">IFERROR(INDEX(Base_Estudiantes!$G$4:$G$505,MATCH(D116,Base_Estudiantes!$C$4:$C$505,0)),"")</f>
        <v/>
      </c>
      <c r="J116" s="7" t="str">
        <f t="array" ref="J116">IFERROR(INDEX(Base_Estudiantes!$H$4:$H$505,MATCH(D116,Base_Estudiantes!$C$4:$C$505,0)),"")</f>
        <v/>
      </c>
      <c r="K116" s="5"/>
      <c r="L116" s="5"/>
      <c r="M116" s="5"/>
      <c r="N116" s="5"/>
      <c r="O116" s="5"/>
      <c r="P116" s="5"/>
      <c r="Q116" s="5"/>
      <c r="R116" s="20"/>
      <c r="S116" s="5"/>
      <c r="T116" s="5"/>
    </row>
    <row r="117" spans="1:20" ht="15.75" customHeight="1">
      <c r="A117" s="19" t="str">
        <f t="shared" si="0"/>
        <v/>
      </c>
      <c r="B117" s="6"/>
      <c r="C117" s="20"/>
      <c r="D117" s="5"/>
      <c r="E117" s="7" t="str">
        <f t="array" ref="E117">IFERROR(INDEX(Base_Estudiantes!$A$4:$A$505,MATCH(D117,Base_Estudiantes!$C$4:$C$505,0)),"")</f>
        <v/>
      </c>
      <c r="F117" s="7" t="str">
        <f t="array" ref="F117">IFERROR(INDEX(Base_Estudiantes!$B$4:$B$505,MATCH(D117,Base_Estudiantes!$C$4:$C$505,0)),"")</f>
        <v/>
      </c>
      <c r="G117" s="7" t="str">
        <f t="array" ref="G117">IFERROR(INDEX(Base_Estudiantes!$D$4:$D$505,MATCH(D117,Base_Estudiantes!$C$4:$C$505,0)),"")</f>
        <v/>
      </c>
      <c r="H117" s="7" t="str">
        <f t="array" ref="H117">IFERROR(INDEX(Base_Estudiantes!$F$4:$F$505,MATCH(D117,Base_Estudiantes!$C$4:$C$505,0)),"")</f>
        <v/>
      </c>
      <c r="I117" s="7" t="str">
        <f t="array" ref="I117">IFERROR(INDEX(Base_Estudiantes!$G$4:$G$505,MATCH(D117,Base_Estudiantes!$C$4:$C$505,0)),"")</f>
        <v/>
      </c>
      <c r="J117" s="7" t="str">
        <f t="array" ref="J117">IFERROR(INDEX(Base_Estudiantes!$H$4:$H$505,MATCH(D117,Base_Estudiantes!$C$4:$C$505,0)),"")</f>
        <v/>
      </c>
      <c r="K117" s="5"/>
      <c r="L117" s="5"/>
      <c r="M117" s="5"/>
      <c r="N117" s="5"/>
      <c r="O117" s="5"/>
      <c r="P117" s="5"/>
      <c r="Q117" s="5"/>
      <c r="R117" s="20"/>
      <c r="S117" s="5"/>
      <c r="T117" s="5"/>
    </row>
    <row r="118" spans="1:20" ht="15.75" customHeight="1">
      <c r="A118" s="19" t="str">
        <f t="shared" si="0"/>
        <v/>
      </c>
      <c r="B118" s="6"/>
      <c r="C118" s="20"/>
      <c r="D118" s="5"/>
      <c r="E118" s="7" t="str">
        <f t="array" ref="E118">IFERROR(INDEX(Base_Estudiantes!$A$4:$A$505,MATCH(D118,Base_Estudiantes!$C$4:$C$505,0)),"")</f>
        <v/>
      </c>
      <c r="F118" s="7" t="str">
        <f t="array" ref="F118">IFERROR(INDEX(Base_Estudiantes!$B$4:$B$505,MATCH(D118,Base_Estudiantes!$C$4:$C$505,0)),"")</f>
        <v/>
      </c>
      <c r="G118" s="7" t="str">
        <f t="array" ref="G118">IFERROR(INDEX(Base_Estudiantes!$D$4:$D$505,MATCH(D118,Base_Estudiantes!$C$4:$C$505,0)),"")</f>
        <v/>
      </c>
      <c r="H118" s="7" t="str">
        <f t="array" ref="H118">IFERROR(INDEX(Base_Estudiantes!$F$4:$F$505,MATCH(D118,Base_Estudiantes!$C$4:$C$505,0)),"")</f>
        <v/>
      </c>
      <c r="I118" s="7" t="str">
        <f t="array" ref="I118">IFERROR(INDEX(Base_Estudiantes!$G$4:$G$505,MATCH(D118,Base_Estudiantes!$C$4:$C$505,0)),"")</f>
        <v/>
      </c>
      <c r="J118" s="7" t="str">
        <f t="array" ref="J118">IFERROR(INDEX(Base_Estudiantes!$H$4:$H$505,MATCH(D118,Base_Estudiantes!$C$4:$C$505,0)),"")</f>
        <v/>
      </c>
      <c r="K118" s="5"/>
      <c r="L118" s="5"/>
      <c r="M118" s="5"/>
      <c r="N118" s="5"/>
      <c r="O118" s="5"/>
      <c r="P118" s="5"/>
      <c r="Q118" s="5"/>
      <c r="R118" s="20"/>
      <c r="S118" s="5"/>
      <c r="T118" s="5"/>
    </row>
    <row r="119" spans="1:20" ht="15.75" customHeight="1">
      <c r="A119" s="19" t="str">
        <f t="shared" si="0"/>
        <v/>
      </c>
      <c r="B119" s="6"/>
      <c r="C119" s="20"/>
      <c r="D119" s="5"/>
      <c r="E119" s="7" t="str">
        <f t="array" ref="E119">IFERROR(INDEX(Base_Estudiantes!$A$4:$A$505,MATCH(D119,Base_Estudiantes!$C$4:$C$505,0)),"")</f>
        <v/>
      </c>
      <c r="F119" s="7" t="str">
        <f t="array" ref="F119">IFERROR(INDEX(Base_Estudiantes!$B$4:$B$505,MATCH(D119,Base_Estudiantes!$C$4:$C$505,0)),"")</f>
        <v/>
      </c>
      <c r="G119" s="7" t="str">
        <f t="array" ref="G119">IFERROR(INDEX(Base_Estudiantes!$D$4:$D$505,MATCH(D119,Base_Estudiantes!$C$4:$C$505,0)),"")</f>
        <v/>
      </c>
      <c r="H119" s="7" t="str">
        <f t="array" ref="H119">IFERROR(INDEX(Base_Estudiantes!$F$4:$F$505,MATCH(D119,Base_Estudiantes!$C$4:$C$505,0)),"")</f>
        <v/>
      </c>
      <c r="I119" s="7" t="str">
        <f t="array" ref="I119">IFERROR(INDEX(Base_Estudiantes!$G$4:$G$505,MATCH(D119,Base_Estudiantes!$C$4:$C$505,0)),"")</f>
        <v/>
      </c>
      <c r="J119" s="7" t="str">
        <f t="array" ref="J119">IFERROR(INDEX(Base_Estudiantes!$H$4:$H$505,MATCH(D119,Base_Estudiantes!$C$4:$C$505,0)),"")</f>
        <v/>
      </c>
      <c r="K119" s="5"/>
      <c r="L119" s="5"/>
      <c r="M119" s="5"/>
      <c r="N119" s="5"/>
      <c r="O119" s="5"/>
      <c r="P119" s="5"/>
      <c r="Q119" s="5"/>
      <c r="R119" s="20"/>
      <c r="S119" s="5"/>
      <c r="T119" s="5"/>
    </row>
    <row r="120" spans="1:20" ht="15.75" customHeight="1">
      <c r="A120" s="19" t="str">
        <f t="shared" si="0"/>
        <v/>
      </c>
      <c r="B120" s="6"/>
      <c r="C120" s="20"/>
      <c r="D120" s="5"/>
      <c r="E120" s="7" t="str">
        <f t="array" ref="E120">IFERROR(INDEX(Base_Estudiantes!$A$4:$A$505,MATCH(D120,Base_Estudiantes!$C$4:$C$505,0)),"")</f>
        <v/>
      </c>
      <c r="F120" s="7" t="str">
        <f t="array" ref="F120">IFERROR(INDEX(Base_Estudiantes!$B$4:$B$505,MATCH(D120,Base_Estudiantes!$C$4:$C$505,0)),"")</f>
        <v/>
      </c>
      <c r="G120" s="7" t="str">
        <f t="array" ref="G120">IFERROR(INDEX(Base_Estudiantes!$D$4:$D$505,MATCH(D120,Base_Estudiantes!$C$4:$C$505,0)),"")</f>
        <v/>
      </c>
      <c r="H120" s="7" t="str">
        <f t="array" ref="H120">IFERROR(INDEX(Base_Estudiantes!$F$4:$F$505,MATCH(D120,Base_Estudiantes!$C$4:$C$505,0)),"")</f>
        <v/>
      </c>
      <c r="I120" s="7" t="str">
        <f t="array" ref="I120">IFERROR(INDEX(Base_Estudiantes!$G$4:$G$505,MATCH(D120,Base_Estudiantes!$C$4:$C$505,0)),"")</f>
        <v/>
      </c>
      <c r="J120" s="7" t="str">
        <f t="array" ref="J120">IFERROR(INDEX(Base_Estudiantes!$H$4:$H$505,MATCH(D120,Base_Estudiantes!$C$4:$C$505,0)),"")</f>
        <v/>
      </c>
      <c r="K120" s="5"/>
      <c r="L120" s="5"/>
      <c r="M120" s="5"/>
      <c r="N120" s="5"/>
      <c r="O120" s="5"/>
      <c r="P120" s="5"/>
      <c r="Q120" s="5"/>
      <c r="R120" s="20"/>
      <c r="S120" s="5"/>
      <c r="T120" s="5"/>
    </row>
    <row r="121" spans="1:20" ht="15.75" customHeight="1">
      <c r="A121" s="19" t="str">
        <f t="shared" si="0"/>
        <v/>
      </c>
      <c r="B121" s="6"/>
      <c r="C121" s="20"/>
      <c r="D121" s="5"/>
      <c r="E121" s="7" t="str">
        <f t="array" ref="E121">IFERROR(INDEX(Base_Estudiantes!$A$4:$A$505,MATCH(D121,Base_Estudiantes!$C$4:$C$505,0)),"")</f>
        <v/>
      </c>
      <c r="F121" s="7" t="str">
        <f t="array" ref="F121">IFERROR(INDEX(Base_Estudiantes!$B$4:$B$505,MATCH(D121,Base_Estudiantes!$C$4:$C$505,0)),"")</f>
        <v/>
      </c>
      <c r="G121" s="7" t="str">
        <f t="array" ref="G121">IFERROR(INDEX(Base_Estudiantes!$D$4:$D$505,MATCH(D121,Base_Estudiantes!$C$4:$C$505,0)),"")</f>
        <v/>
      </c>
      <c r="H121" s="7" t="str">
        <f t="array" ref="H121">IFERROR(INDEX(Base_Estudiantes!$F$4:$F$505,MATCH(D121,Base_Estudiantes!$C$4:$C$505,0)),"")</f>
        <v/>
      </c>
      <c r="I121" s="7" t="str">
        <f t="array" ref="I121">IFERROR(INDEX(Base_Estudiantes!$G$4:$G$505,MATCH(D121,Base_Estudiantes!$C$4:$C$505,0)),"")</f>
        <v/>
      </c>
      <c r="J121" s="7" t="str">
        <f t="array" ref="J121">IFERROR(INDEX(Base_Estudiantes!$H$4:$H$505,MATCH(D121,Base_Estudiantes!$C$4:$C$505,0)),"")</f>
        <v/>
      </c>
      <c r="K121" s="5"/>
      <c r="L121" s="5"/>
      <c r="M121" s="5"/>
      <c r="N121" s="5"/>
      <c r="O121" s="5"/>
      <c r="P121" s="5"/>
      <c r="Q121" s="5"/>
      <c r="R121" s="20"/>
      <c r="S121" s="5"/>
      <c r="T121" s="5"/>
    </row>
    <row r="122" spans="1:20" ht="15.75" customHeight="1">
      <c r="A122" s="19" t="str">
        <f t="shared" si="0"/>
        <v/>
      </c>
      <c r="B122" s="6"/>
      <c r="C122" s="20"/>
      <c r="D122" s="5"/>
      <c r="E122" s="7" t="str">
        <f t="array" ref="E122">IFERROR(INDEX(Base_Estudiantes!$A$4:$A$505,MATCH(D122,Base_Estudiantes!$C$4:$C$505,0)),"")</f>
        <v/>
      </c>
      <c r="F122" s="7" t="str">
        <f t="array" ref="F122">IFERROR(INDEX(Base_Estudiantes!$B$4:$B$505,MATCH(D122,Base_Estudiantes!$C$4:$C$505,0)),"")</f>
        <v/>
      </c>
      <c r="G122" s="7" t="str">
        <f t="array" ref="G122">IFERROR(INDEX(Base_Estudiantes!$D$4:$D$505,MATCH(D122,Base_Estudiantes!$C$4:$C$505,0)),"")</f>
        <v/>
      </c>
      <c r="H122" s="7" t="str">
        <f t="array" ref="H122">IFERROR(INDEX(Base_Estudiantes!$F$4:$F$505,MATCH(D122,Base_Estudiantes!$C$4:$C$505,0)),"")</f>
        <v/>
      </c>
      <c r="I122" s="7" t="str">
        <f t="array" ref="I122">IFERROR(INDEX(Base_Estudiantes!$G$4:$G$505,MATCH(D122,Base_Estudiantes!$C$4:$C$505,0)),"")</f>
        <v/>
      </c>
      <c r="J122" s="7" t="str">
        <f t="array" ref="J122">IFERROR(INDEX(Base_Estudiantes!$H$4:$H$505,MATCH(D122,Base_Estudiantes!$C$4:$C$505,0)),"")</f>
        <v/>
      </c>
      <c r="K122" s="5"/>
      <c r="L122" s="5"/>
      <c r="M122" s="5"/>
      <c r="N122" s="5"/>
      <c r="O122" s="5"/>
      <c r="P122" s="5"/>
      <c r="Q122" s="5"/>
      <c r="R122" s="20"/>
      <c r="S122" s="5"/>
      <c r="T122" s="5"/>
    </row>
    <row r="123" spans="1:20" ht="15.75" customHeight="1">
      <c r="A123" s="19" t="str">
        <f t="shared" si="0"/>
        <v/>
      </c>
      <c r="B123" s="6"/>
      <c r="C123" s="20"/>
      <c r="D123" s="5"/>
      <c r="E123" s="7" t="str">
        <f t="array" ref="E123">IFERROR(INDEX(Base_Estudiantes!$A$4:$A$505,MATCH(D123,Base_Estudiantes!$C$4:$C$505,0)),"")</f>
        <v/>
      </c>
      <c r="F123" s="7" t="str">
        <f t="array" ref="F123">IFERROR(INDEX(Base_Estudiantes!$B$4:$B$505,MATCH(D123,Base_Estudiantes!$C$4:$C$505,0)),"")</f>
        <v/>
      </c>
      <c r="G123" s="7" t="str">
        <f t="array" ref="G123">IFERROR(INDEX(Base_Estudiantes!$D$4:$D$505,MATCH(D123,Base_Estudiantes!$C$4:$C$505,0)),"")</f>
        <v/>
      </c>
      <c r="H123" s="7" t="str">
        <f t="array" ref="H123">IFERROR(INDEX(Base_Estudiantes!$F$4:$F$505,MATCH(D123,Base_Estudiantes!$C$4:$C$505,0)),"")</f>
        <v/>
      </c>
      <c r="I123" s="7" t="str">
        <f t="array" ref="I123">IFERROR(INDEX(Base_Estudiantes!$G$4:$G$505,MATCH(D123,Base_Estudiantes!$C$4:$C$505,0)),"")</f>
        <v/>
      </c>
      <c r="J123" s="7" t="str">
        <f t="array" ref="J123">IFERROR(INDEX(Base_Estudiantes!$H$4:$H$505,MATCH(D123,Base_Estudiantes!$C$4:$C$505,0)),"")</f>
        <v/>
      </c>
      <c r="K123" s="5"/>
      <c r="L123" s="5"/>
      <c r="M123" s="5"/>
      <c r="N123" s="5"/>
      <c r="O123" s="5"/>
      <c r="P123" s="5"/>
      <c r="Q123" s="5"/>
      <c r="R123" s="20"/>
      <c r="S123" s="5"/>
      <c r="T123" s="5"/>
    </row>
    <row r="124" spans="1:20" ht="15.75" customHeight="1">
      <c r="A124" s="19" t="str">
        <f t="shared" si="0"/>
        <v/>
      </c>
      <c r="B124" s="6"/>
      <c r="C124" s="20"/>
      <c r="D124" s="5"/>
      <c r="E124" s="7" t="str">
        <f t="array" ref="E124">IFERROR(INDEX(Base_Estudiantes!$A$4:$A$505,MATCH(D124,Base_Estudiantes!$C$4:$C$505,0)),"")</f>
        <v/>
      </c>
      <c r="F124" s="7" t="str">
        <f t="array" ref="F124">IFERROR(INDEX(Base_Estudiantes!$B$4:$B$505,MATCH(D124,Base_Estudiantes!$C$4:$C$505,0)),"")</f>
        <v/>
      </c>
      <c r="G124" s="7" t="str">
        <f t="array" ref="G124">IFERROR(INDEX(Base_Estudiantes!$D$4:$D$505,MATCH(D124,Base_Estudiantes!$C$4:$C$505,0)),"")</f>
        <v/>
      </c>
      <c r="H124" s="7" t="str">
        <f t="array" ref="H124">IFERROR(INDEX(Base_Estudiantes!$F$4:$F$505,MATCH(D124,Base_Estudiantes!$C$4:$C$505,0)),"")</f>
        <v/>
      </c>
      <c r="I124" s="7" t="str">
        <f t="array" ref="I124">IFERROR(INDEX(Base_Estudiantes!$G$4:$G$505,MATCH(D124,Base_Estudiantes!$C$4:$C$505,0)),"")</f>
        <v/>
      </c>
      <c r="J124" s="7" t="str">
        <f t="array" ref="J124">IFERROR(INDEX(Base_Estudiantes!$H$4:$H$505,MATCH(D124,Base_Estudiantes!$C$4:$C$505,0)),"")</f>
        <v/>
      </c>
      <c r="K124" s="5"/>
      <c r="L124" s="5"/>
      <c r="M124" s="5"/>
      <c r="N124" s="5"/>
      <c r="O124" s="5"/>
      <c r="P124" s="5"/>
      <c r="Q124" s="5"/>
      <c r="R124" s="20"/>
      <c r="S124" s="5"/>
      <c r="T124" s="5"/>
    </row>
    <row r="125" spans="1:20" ht="15.75" customHeight="1">
      <c r="A125" s="19" t="str">
        <f t="shared" si="0"/>
        <v/>
      </c>
      <c r="B125" s="6"/>
      <c r="C125" s="20"/>
      <c r="D125" s="5"/>
      <c r="E125" s="7" t="str">
        <f t="array" ref="E125">IFERROR(INDEX(Base_Estudiantes!$A$4:$A$505,MATCH(D125,Base_Estudiantes!$C$4:$C$505,0)),"")</f>
        <v/>
      </c>
      <c r="F125" s="7" t="str">
        <f t="array" ref="F125">IFERROR(INDEX(Base_Estudiantes!$B$4:$B$505,MATCH(D125,Base_Estudiantes!$C$4:$C$505,0)),"")</f>
        <v/>
      </c>
      <c r="G125" s="7" t="str">
        <f t="array" ref="G125">IFERROR(INDEX(Base_Estudiantes!$D$4:$D$505,MATCH(D125,Base_Estudiantes!$C$4:$C$505,0)),"")</f>
        <v/>
      </c>
      <c r="H125" s="7" t="str">
        <f t="array" ref="H125">IFERROR(INDEX(Base_Estudiantes!$F$4:$F$505,MATCH(D125,Base_Estudiantes!$C$4:$C$505,0)),"")</f>
        <v/>
      </c>
      <c r="I125" s="7" t="str">
        <f t="array" ref="I125">IFERROR(INDEX(Base_Estudiantes!$G$4:$G$505,MATCH(D125,Base_Estudiantes!$C$4:$C$505,0)),"")</f>
        <v/>
      </c>
      <c r="J125" s="7" t="str">
        <f t="array" ref="J125">IFERROR(INDEX(Base_Estudiantes!$H$4:$H$505,MATCH(D125,Base_Estudiantes!$C$4:$C$505,0)),"")</f>
        <v/>
      </c>
      <c r="K125" s="5"/>
      <c r="L125" s="5"/>
      <c r="M125" s="5"/>
      <c r="N125" s="5"/>
      <c r="O125" s="5"/>
      <c r="P125" s="5"/>
      <c r="Q125" s="5"/>
      <c r="R125" s="20"/>
      <c r="S125" s="5"/>
      <c r="T125" s="5"/>
    </row>
    <row r="126" spans="1:20" ht="15.75" customHeight="1">
      <c r="A126" s="19" t="str">
        <f t="shared" si="0"/>
        <v/>
      </c>
      <c r="B126" s="6"/>
      <c r="C126" s="20"/>
      <c r="D126" s="5"/>
      <c r="E126" s="7" t="str">
        <f t="array" ref="E126">IFERROR(INDEX(Base_Estudiantes!$A$4:$A$505,MATCH(D126,Base_Estudiantes!$C$4:$C$505,0)),"")</f>
        <v/>
      </c>
      <c r="F126" s="7" t="str">
        <f t="array" ref="F126">IFERROR(INDEX(Base_Estudiantes!$B$4:$B$505,MATCH(D126,Base_Estudiantes!$C$4:$C$505,0)),"")</f>
        <v/>
      </c>
      <c r="G126" s="7" t="str">
        <f t="array" ref="G126">IFERROR(INDEX(Base_Estudiantes!$D$4:$D$505,MATCH(D126,Base_Estudiantes!$C$4:$C$505,0)),"")</f>
        <v/>
      </c>
      <c r="H126" s="7" t="str">
        <f t="array" ref="H126">IFERROR(INDEX(Base_Estudiantes!$F$4:$F$505,MATCH(D126,Base_Estudiantes!$C$4:$C$505,0)),"")</f>
        <v/>
      </c>
      <c r="I126" s="7" t="str">
        <f t="array" ref="I126">IFERROR(INDEX(Base_Estudiantes!$G$4:$G$505,MATCH(D126,Base_Estudiantes!$C$4:$C$505,0)),"")</f>
        <v/>
      </c>
      <c r="J126" s="7" t="str">
        <f t="array" ref="J126">IFERROR(INDEX(Base_Estudiantes!$H$4:$H$505,MATCH(D126,Base_Estudiantes!$C$4:$C$505,0)),"")</f>
        <v/>
      </c>
      <c r="K126" s="5"/>
      <c r="L126" s="5"/>
      <c r="M126" s="5"/>
      <c r="N126" s="5"/>
      <c r="O126" s="5"/>
      <c r="P126" s="5"/>
      <c r="Q126" s="5"/>
      <c r="R126" s="20"/>
      <c r="S126" s="5"/>
      <c r="T126" s="5"/>
    </row>
    <row r="127" spans="1:20" ht="15.75" customHeight="1">
      <c r="A127" s="19" t="str">
        <f t="shared" si="0"/>
        <v/>
      </c>
      <c r="B127" s="6"/>
      <c r="C127" s="20"/>
      <c r="D127" s="5"/>
      <c r="E127" s="7" t="str">
        <f t="array" ref="E127">IFERROR(INDEX(Base_Estudiantes!$A$4:$A$505,MATCH(D127,Base_Estudiantes!$C$4:$C$505,0)),"")</f>
        <v/>
      </c>
      <c r="F127" s="7" t="str">
        <f t="array" ref="F127">IFERROR(INDEX(Base_Estudiantes!$B$4:$B$505,MATCH(D127,Base_Estudiantes!$C$4:$C$505,0)),"")</f>
        <v/>
      </c>
      <c r="G127" s="7" t="str">
        <f t="array" ref="G127">IFERROR(INDEX(Base_Estudiantes!$D$4:$D$505,MATCH(D127,Base_Estudiantes!$C$4:$C$505,0)),"")</f>
        <v/>
      </c>
      <c r="H127" s="7" t="str">
        <f t="array" ref="H127">IFERROR(INDEX(Base_Estudiantes!$F$4:$F$505,MATCH(D127,Base_Estudiantes!$C$4:$C$505,0)),"")</f>
        <v/>
      </c>
      <c r="I127" s="7" t="str">
        <f t="array" ref="I127">IFERROR(INDEX(Base_Estudiantes!$G$4:$G$505,MATCH(D127,Base_Estudiantes!$C$4:$C$505,0)),"")</f>
        <v/>
      </c>
      <c r="J127" s="7" t="str">
        <f t="array" ref="J127">IFERROR(INDEX(Base_Estudiantes!$H$4:$H$505,MATCH(D127,Base_Estudiantes!$C$4:$C$505,0)),"")</f>
        <v/>
      </c>
      <c r="K127" s="5"/>
      <c r="L127" s="5"/>
      <c r="M127" s="5"/>
      <c r="N127" s="5"/>
      <c r="O127" s="5"/>
      <c r="P127" s="5"/>
      <c r="Q127" s="5"/>
      <c r="R127" s="20"/>
      <c r="S127" s="5"/>
      <c r="T127" s="5"/>
    </row>
    <row r="128" spans="1:20" ht="15.75" customHeight="1">
      <c r="A128" s="19" t="str">
        <f t="shared" si="0"/>
        <v/>
      </c>
      <c r="B128" s="6"/>
      <c r="C128" s="20"/>
      <c r="D128" s="5"/>
      <c r="E128" s="7" t="str">
        <f t="array" ref="E128">IFERROR(INDEX(Base_Estudiantes!$A$4:$A$505,MATCH(D128,Base_Estudiantes!$C$4:$C$505,0)),"")</f>
        <v/>
      </c>
      <c r="F128" s="7" t="str">
        <f t="array" ref="F128">IFERROR(INDEX(Base_Estudiantes!$B$4:$B$505,MATCH(D128,Base_Estudiantes!$C$4:$C$505,0)),"")</f>
        <v/>
      </c>
      <c r="G128" s="7" t="str">
        <f t="array" ref="G128">IFERROR(INDEX(Base_Estudiantes!$D$4:$D$505,MATCH(D128,Base_Estudiantes!$C$4:$C$505,0)),"")</f>
        <v/>
      </c>
      <c r="H128" s="7" t="str">
        <f t="array" ref="H128">IFERROR(INDEX(Base_Estudiantes!$F$4:$F$505,MATCH(D128,Base_Estudiantes!$C$4:$C$505,0)),"")</f>
        <v/>
      </c>
      <c r="I128" s="7" t="str">
        <f t="array" ref="I128">IFERROR(INDEX(Base_Estudiantes!$G$4:$G$505,MATCH(D128,Base_Estudiantes!$C$4:$C$505,0)),"")</f>
        <v/>
      </c>
      <c r="J128" s="7" t="str">
        <f t="array" ref="J128">IFERROR(INDEX(Base_Estudiantes!$H$4:$H$505,MATCH(D128,Base_Estudiantes!$C$4:$C$505,0)),"")</f>
        <v/>
      </c>
      <c r="K128" s="5"/>
      <c r="L128" s="5"/>
      <c r="M128" s="5"/>
      <c r="N128" s="5"/>
      <c r="O128" s="5"/>
      <c r="P128" s="5"/>
      <c r="Q128" s="5"/>
      <c r="R128" s="20"/>
      <c r="S128" s="5"/>
      <c r="T128" s="5"/>
    </row>
    <row r="129" spans="1:20" ht="15.75" customHeight="1">
      <c r="A129" s="19" t="str">
        <f t="shared" si="0"/>
        <v/>
      </c>
      <c r="B129" s="6"/>
      <c r="C129" s="20"/>
      <c r="D129" s="5"/>
      <c r="E129" s="7" t="str">
        <f t="array" ref="E129">IFERROR(INDEX(Base_Estudiantes!$A$4:$A$505,MATCH(D129,Base_Estudiantes!$C$4:$C$505,0)),"")</f>
        <v/>
      </c>
      <c r="F129" s="7" t="str">
        <f t="array" ref="F129">IFERROR(INDEX(Base_Estudiantes!$B$4:$B$505,MATCH(D129,Base_Estudiantes!$C$4:$C$505,0)),"")</f>
        <v/>
      </c>
      <c r="G129" s="7" t="str">
        <f t="array" ref="G129">IFERROR(INDEX(Base_Estudiantes!$D$4:$D$505,MATCH(D129,Base_Estudiantes!$C$4:$C$505,0)),"")</f>
        <v/>
      </c>
      <c r="H129" s="7" t="str">
        <f t="array" ref="H129">IFERROR(INDEX(Base_Estudiantes!$F$4:$F$505,MATCH(D129,Base_Estudiantes!$C$4:$C$505,0)),"")</f>
        <v/>
      </c>
      <c r="I129" s="7" t="str">
        <f t="array" ref="I129">IFERROR(INDEX(Base_Estudiantes!$G$4:$G$505,MATCH(D129,Base_Estudiantes!$C$4:$C$505,0)),"")</f>
        <v/>
      </c>
      <c r="J129" s="7" t="str">
        <f t="array" ref="J129">IFERROR(INDEX(Base_Estudiantes!$H$4:$H$505,MATCH(D129,Base_Estudiantes!$C$4:$C$505,0)),"")</f>
        <v/>
      </c>
      <c r="K129" s="5"/>
      <c r="L129" s="5"/>
      <c r="M129" s="5"/>
      <c r="N129" s="5"/>
      <c r="O129" s="5"/>
      <c r="P129" s="5"/>
      <c r="Q129" s="5"/>
      <c r="R129" s="20"/>
      <c r="S129" s="5"/>
      <c r="T129" s="5"/>
    </row>
    <row r="130" spans="1:20" ht="15.75" customHeight="1">
      <c r="A130" s="19" t="str">
        <f t="shared" si="0"/>
        <v/>
      </c>
      <c r="B130" s="6"/>
      <c r="C130" s="20"/>
      <c r="D130" s="5"/>
      <c r="E130" s="7" t="str">
        <f t="array" ref="E130">IFERROR(INDEX(Base_Estudiantes!$A$4:$A$505,MATCH(D130,Base_Estudiantes!$C$4:$C$505,0)),"")</f>
        <v/>
      </c>
      <c r="F130" s="7" t="str">
        <f t="array" ref="F130">IFERROR(INDEX(Base_Estudiantes!$B$4:$B$505,MATCH(D130,Base_Estudiantes!$C$4:$C$505,0)),"")</f>
        <v/>
      </c>
      <c r="G130" s="7" t="str">
        <f t="array" ref="G130">IFERROR(INDEX(Base_Estudiantes!$D$4:$D$505,MATCH(D130,Base_Estudiantes!$C$4:$C$505,0)),"")</f>
        <v/>
      </c>
      <c r="H130" s="7" t="str">
        <f t="array" ref="H130">IFERROR(INDEX(Base_Estudiantes!$F$4:$F$505,MATCH(D130,Base_Estudiantes!$C$4:$C$505,0)),"")</f>
        <v/>
      </c>
      <c r="I130" s="7" t="str">
        <f t="array" ref="I130">IFERROR(INDEX(Base_Estudiantes!$G$4:$G$505,MATCH(D130,Base_Estudiantes!$C$4:$C$505,0)),"")</f>
        <v/>
      </c>
      <c r="J130" s="7" t="str">
        <f t="array" ref="J130">IFERROR(INDEX(Base_Estudiantes!$H$4:$H$505,MATCH(D130,Base_Estudiantes!$C$4:$C$505,0)),"")</f>
        <v/>
      </c>
      <c r="K130" s="5"/>
      <c r="L130" s="5"/>
      <c r="M130" s="5"/>
      <c r="N130" s="5"/>
      <c r="O130" s="5"/>
      <c r="P130" s="5"/>
      <c r="Q130" s="5"/>
      <c r="R130" s="20"/>
      <c r="S130" s="5"/>
      <c r="T130" s="5"/>
    </row>
    <row r="131" spans="1:20" ht="15.75" customHeight="1">
      <c r="A131" s="19" t="str">
        <f t="shared" si="0"/>
        <v/>
      </c>
      <c r="B131" s="6"/>
      <c r="C131" s="20"/>
      <c r="D131" s="5"/>
      <c r="E131" s="7" t="str">
        <f t="array" ref="E131">IFERROR(INDEX(Base_Estudiantes!$A$4:$A$505,MATCH(D131,Base_Estudiantes!$C$4:$C$505,0)),"")</f>
        <v/>
      </c>
      <c r="F131" s="7" t="str">
        <f t="array" ref="F131">IFERROR(INDEX(Base_Estudiantes!$B$4:$B$505,MATCH(D131,Base_Estudiantes!$C$4:$C$505,0)),"")</f>
        <v/>
      </c>
      <c r="G131" s="7" t="str">
        <f t="array" ref="G131">IFERROR(INDEX(Base_Estudiantes!$D$4:$D$505,MATCH(D131,Base_Estudiantes!$C$4:$C$505,0)),"")</f>
        <v/>
      </c>
      <c r="H131" s="7" t="str">
        <f t="array" ref="H131">IFERROR(INDEX(Base_Estudiantes!$F$4:$F$505,MATCH(D131,Base_Estudiantes!$C$4:$C$505,0)),"")</f>
        <v/>
      </c>
      <c r="I131" s="7" t="str">
        <f t="array" ref="I131">IFERROR(INDEX(Base_Estudiantes!$G$4:$G$505,MATCH(D131,Base_Estudiantes!$C$4:$C$505,0)),"")</f>
        <v/>
      </c>
      <c r="J131" s="7" t="str">
        <f t="array" ref="J131">IFERROR(INDEX(Base_Estudiantes!$H$4:$H$505,MATCH(D131,Base_Estudiantes!$C$4:$C$505,0)),"")</f>
        <v/>
      </c>
      <c r="K131" s="5"/>
      <c r="L131" s="5"/>
      <c r="M131" s="5"/>
      <c r="N131" s="5"/>
      <c r="O131" s="5"/>
      <c r="P131" s="5"/>
      <c r="Q131" s="5"/>
      <c r="R131" s="20"/>
      <c r="S131" s="5"/>
      <c r="T131" s="5"/>
    </row>
    <row r="132" spans="1:20" ht="15.75" customHeight="1">
      <c r="A132" s="19" t="str">
        <f t="shared" si="0"/>
        <v/>
      </c>
      <c r="B132" s="6"/>
      <c r="C132" s="20"/>
      <c r="D132" s="5"/>
      <c r="E132" s="7" t="str">
        <f t="array" ref="E132">IFERROR(INDEX(Base_Estudiantes!$A$4:$A$505,MATCH(D132,Base_Estudiantes!$C$4:$C$505,0)),"")</f>
        <v/>
      </c>
      <c r="F132" s="7" t="str">
        <f t="array" ref="F132">IFERROR(INDEX(Base_Estudiantes!$B$4:$B$505,MATCH(D132,Base_Estudiantes!$C$4:$C$505,0)),"")</f>
        <v/>
      </c>
      <c r="G132" s="7" t="str">
        <f t="array" ref="G132">IFERROR(INDEX(Base_Estudiantes!$D$4:$D$505,MATCH(D132,Base_Estudiantes!$C$4:$C$505,0)),"")</f>
        <v/>
      </c>
      <c r="H132" s="7" t="str">
        <f t="array" ref="H132">IFERROR(INDEX(Base_Estudiantes!$F$4:$F$505,MATCH(D132,Base_Estudiantes!$C$4:$C$505,0)),"")</f>
        <v/>
      </c>
      <c r="I132" s="7" t="str">
        <f t="array" ref="I132">IFERROR(INDEX(Base_Estudiantes!$G$4:$G$505,MATCH(D132,Base_Estudiantes!$C$4:$C$505,0)),"")</f>
        <v/>
      </c>
      <c r="J132" s="7" t="str">
        <f t="array" ref="J132">IFERROR(INDEX(Base_Estudiantes!$H$4:$H$505,MATCH(D132,Base_Estudiantes!$C$4:$C$505,0)),"")</f>
        <v/>
      </c>
      <c r="K132" s="5"/>
      <c r="L132" s="5"/>
      <c r="M132" s="5"/>
      <c r="N132" s="5"/>
      <c r="O132" s="5"/>
      <c r="P132" s="5"/>
      <c r="Q132" s="5"/>
      <c r="R132" s="20"/>
      <c r="S132" s="5"/>
      <c r="T132" s="5"/>
    </row>
    <row r="133" spans="1:20" ht="15.75" customHeight="1">
      <c r="A133" s="19" t="str">
        <f t="shared" si="0"/>
        <v/>
      </c>
      <c r="B133" s="6"/>
      <c r="C133" s="20"/>
      <c r="D133" s="5"/>
      <c r="E133" s="7" t="str">
        <f t="array" ref="E133">IFERROR(INDEX(Base_Estudiantes!$A$4:$A$505,MATCH(D133,Base_Estudiantes!$C$4:$C$505,0)),"")</f>
        <v/>
      </c>
      <c r="F133" s="7" t="str">
        <f t="array" ref="F133">IFERROR(INDEX(Base_Estudiantes!$B$4:$B$505,MATCH(D133,Base_Estudiantes!$C$4:$C$505,0)),"")</f>
        <v/>
      </c>
      <c r="G133" s="7" t="str">
        <f t="array" ref="G133">IFERROR(INDEX(Base_Estudiantes!$D$4:$D$505,MATCH(D133,Base_Estudiantes!$C$4:$C$505,0)),"")</f>
        <v/>
      </c>
      <c r="H133" s="7" t="str">
        <f t="array" ref="H133">IFERROR(INDEX(Base_Estudiantes!$F$4:$F$505,MATCH(D133,Base_Estudiantes!$C$4:$C$505,0)),"")</f>
        <v/>
      </c>
      <c r="I133" s="7" t="str">
        <f t="array" ref="I133">IFERROR(INDEX(Base_Estudiantes!$G$4:$G$505,MATCH(D133,Base_Estudiantes!$C$4:$C$505,0)),"")</f>
        <v/>
      </c>
      <c r="J133" s="7" t="str">
        <f t="array" ref="J133">IFERROR(INDEX(Base_Estudiantes!$H$4:$H$505,MATCH(D133,Base_Estudiantes!$C$4:$C$505,0)),"")</f>
        <v/>
      </c>
      <c r="K133" s="5"/>
      <c r="L133" s="5"/>
      <c r="M133" s="5"/>
      <c r="N133" s="5"/>
      <c r="O133" s="5"/>
      <c r="P133" s="5"/>
      <c r="Q133" s="5"/>
      <c r="R133" s="20"/>
      <c r="S133" s="5"/>
      <c r="T133" s="5"/>
    </row>
    <row r="134" spans="1:20" ht="15.75" customHeight="1">
      <c r="A134" s="19" t="str">
        <f t="shared" si="0"/>
        <v/>
      </c>
      <c r="B134" s="6"/>
      <c r="C134" s="20"/>
      <c r="D134" s="5"/>
      <c r="E134" s="7" t="str">
        <f t="array" ref="E134">IFERROR(INDEX(Base_Estudiantes!$A$4:$A$505,MATCH(D134,Base_Estudiantes!$C$4:$C$505,0)),"")</f>
        <v/>
      </c>
      <c r="F134" s="7" t="str">
        <f t="array" ref="F134">IFERROR(INDEX(Base_Estudiantes!$B$4:$B$505,MATCH(D134,Base_Estudiantes!$C$4:$C$505,0)),"")</f>
        <v/>
      </c>
      <c r="G134" s="7" t="str">
        <f t="array" ref="G134">IFERROR(INDEX(Base_Estudiantes!$D$4:$D$505,MATCH(D134,Base_Estudiantes!$C$4:$C$505,0)),"")</f>
        <v/>
      </c>
      <c r="H134" s="7" t="str">
        <f t="array" ref="H134">IFERROR(INDEX(Base_Estudiantes!$F$4:$F$505,MATCH(D134,Base_Estudiantes!$C$4:$C$505,0)),"")</f>
        <v/>
      </c>
      <c r="I134" s="7" t="str">
        <f t="array" ref="I134">IFERROR(INDEX(Base_Estudiantes!$G$4:$G$505,MATCH(D134,Base_Estudiantes!$C$4:$C$505,0)),"")</f>
        <v/>
      </c>
      <c r="J134" s="7" t="str">
        <f t="array" ref="J134">IFERROR(INDEX(Base_Estudiantes!$H$4:$H$505,MATCH(D134,Base_Estudiantes!$C$4:$C$505,0)),"")</f>
        <v/>
      </c>
      <c r="K134" s="5"/>
      <c r="L134" s="5"/>
      <c r="M134" s="5"/>
      <c r="N134" s="5"/>
      <c r="O134" s="5"/>
      <c r="P134" s="5"/>
      <c r="Q134" s="5"/>
      <c r="R134" s="20"/>
      <c r="S134" s="5"/>
      <c r="T134" s="5"/>
    </row>
    <row r="135" spans="1:20" ht="15.75" customHeight="1">
      <c r="A135" s="19" t="str">
        <f t="shared" si="0"/>
        <v/>
      </c>
      <c r="B135" s="6"/>
      <c r="C135" s="20"/>
      <c r="D135" s="5"/>
      <c r="E135" s="7" t="str">
        <f t="array" ref="E135">IFERROR(INDEX(Base_Estudiantes!$A$4:$A$505,MATCH(D135,Base_Estudiantes!$C$4:$C$505,0)),"")</f>
        <v/>
      </c>
      <c r="F135" s="7" t="str">
        <f t="array" ref="F135">IFERROR(INDEX(Base_Estudiantes!$B$4:$B$505,MATCH(D135,Base_Estudiantes!$C$4:$C$505,0)),"")</f>
        <v/>
      </c>
      <c r="G135" s="7" t="str">
        <f t="array" ref="G135">IFERROR(INDEX(Base_Estudiantes!$D$4:$D$505,MATCH(D135,Base_Estudiantes!$C$4:$C$505,0)),"")</f>
        <v/>
      </c>
      <c r="H135" s="7" t="str">
        <f t="array" ref="H135">IFERROR(INDEX(Base_Estudiantes!$F$4:$F$505,MATCH(D135,Base_Estudiantes!$C$4:$C$505,0)),"")</f>
        <v/>
      </c>
      <c r="I135" s="7" t="str">
        <f t="array" ref="I135">IFERROR(INDEX(Base_Estudiantes!$G$4:$G$505,MATCH(D135,Base_Estudiantes!$C$4:$C$505,0)),"")</f>
        <v/>
      </c>
      <c r="J135" s="7" t="str">
        <f t="array" ref="J135">IFERROR(INDEX(Base_Estudiantes!$H$4:$H$505,MATCH(D135,Base_Estudiantes!$C$4:$C$505,0)),"")</f>
        <v/>
      </c>
      <c r="K135" s="5"/>
      <c r="L135" s="5"/>
      <c r="M135" s="5"/>
      <c r="N135" s="5"/>
      <c r="O135" s="5"/>
      <c r="P135" s="5"/>
      <c r="Q135" s="5"/>
      <c r="R135" s="20"/>
      <c r="S135" s="5"/>
      <c r="T135" s="5"/>
    </row>
    <row r="136" spans="1:20" ht="15.75" customHeight="1">
      <c r="A136" s="19" t="str">
        <f t="shared" si="0"/>
        <v/>
      </c>
      <c r="B136" s="6"/>
      <c r="C136" s="20"/>
      <c r="D136" s="5"/>
      <c r="E136" s="7" t="str">
        <f t="array" ref="E136">IFERROR(INDEX(Base_Estudiantes!$A$4:$A$505,MATCH(D136,Base_Estudiantes!$C$4:$C$505,0)),"")</f>
        <v/>
      </c>
      <c r="F136" s="7" t="str">
        <f t="array" ref="F136">IFERROR(INDEX(Base_Estudiantes!$B$4:$B$505,MATCH(D136,Base_Estudiantes!$C$4:$C$505,0)),"")</f>
        <v/>
      </c>
      <c r="G136" s="7" t="str">
        <f t="array" ref="G136">IFERROR(INDEX(Base_Estudiantes!$D$4:$D$505,MATCH(D136,Base_Estudiantes!$C$4:$C$505,0)),"")</f>
        <v/>
      </c>
      <c r="H136" s="7" t="str">
        <f t="array" ref="H136">IFERROR(INDEX(Base_Estudiantes!$F$4:$F$505,MATCH(D136,Base_Estudiantes!$C$4:$C$505,0)),"")</f>
        <v/>
      </c>
      <c r="I136" s="7" t="str">
        <f t="array" ref="I136">IFERROR(INDEX(Base_Estudiantes!$G$4:$G$505,MATCH(D136,Base_Estudiantes!$C$4:$C$505,0)),"")</f>
        <v/>
      </c>
      <c r="J136" s="7" t="str">
        <f t="array" ref="J136">IFERROR(INDEX(Base_Estudiantes!$H$4:$H$505,MATCH(D136,Base_Estudiantes!$C$4:$C$505,0)),"")</f>
        <v/>
      </c>
      <c r="K136" s="5"/>
      <c r="L136" s="5"/>
      <c r="M136" s="5"/>
      <c r="N136" s="5"/>
      <c r="O136" s="5"/>
      <c r="P136" s="5"/>
      <c r="Q136" s="5"/>
      <c r="R136" s="20"/>
      <c r="S136" s="5"/>
      <c r="T136" s="5"/>
    </row>
    <row r="137" spans="1:20" ht="15.75" customHeight="1">
      <c r="A137" s="19" t="str">
        <f t="shared" si="0"/>
        <v/>
      </c>
      <c r="B137" s="6"/>
      <c r="C137" s="20"/>
      <c r="D137" s="5"/>
      <c r="E137" s="7" t="str">
        <f t="array" ref="E137">IFERROR(INDEX(Base_Estudiantes!$A$4:$A$505,MATCH(D137,Base_Estudiantes!$C$4:$C$505,0)),"")</f>
        <v/>
      </c>
      <c r="F137" s="7" t="str">
        <f t="array" ref="F137">IFERROR(INDEX(Base_Estudiantes!$B$4:$B$505,MATCH(D137,Base_Estudiantes!$C$4:$C$505,0)),"")</f>
        <v/>
      </c>
      <c r="G137" s="7" t="str">
        <f t="array" ref="G137">IFERROR(INDEX(Base_Estudiantes!$D$4:$D$505,MATCH(D137,Base_Estudiantes!$C$4:$C$505,0)),"")</f>
        <v/>
      </c>
      <c r="H137" s="7" t="str">
        <f t="array" ref="H137">IFERROR(INDEX(Base_Estudiantes!$F$4:$F$505,MATCH(D137,Base_Estudiantes!$C$4:$C$505,0)),"")</f>
        <v/>
      </c>
      <c r="I137" s="7" t="str">
        <f t="array" ref="I137">IFERROR(INDEX(Base_Estudiantes!$G$4:$G$505,MATCH(D137,Base_Estudiantes!$C$4:$C$505,0)),"")</f>
        <v/>
      </c>
      <c r="J137" s="7" t="str">
        <f t="array" ref="J137">IFERROR(INDEX(Base_Estudiantes!$H$4:$H$505,MATCH(D137,Base_Estudiantes!$C$4:$C$505,0)),"")</f>
        <v/>
      </c>
      <c r="K137" s="5"/>
      <c r="L137" s="5"/>
      <c r="M137" s="5"/>
      <c r="N137" s="5"/>
      <c r="O137" s="5"/>
      <c r="P137" s="5"/>
      <c r="Q137" s="5"/>
      <c r="R137" s="20"/>
      <c r="S137" s="5"/>
      <c r="T137" s="5"/>
    </row>
    <row r="138" spans="1:20" ht="15.75" customHeight="1">
      <c r="A138" s="19" t="str">
        <f t="shared" si="0"/>
        <v/>
      </c>
      <c r="B138" s="6"/>
      <c r="C138" s="20"/>
      <c r="D138" s="5"/>
      <c r="E138" s="7" t="str">
        <f t="array" ref="E138">IFERROR(INDEX(Base_Estudiantes!$A$4:$A$505,MATCH(D138,Base_Estudiantes!$C$4:$C$505,0)),"")</f>
        <v/>
      </c>
      <c r="F138" s="7" t="str">
        <f t="array" ref="F138">IFERROR(INDEX(Base_Estudiantes!$B$4:$B$505,MATCH(D138,Base_Estudiantes!$C$4:$C$505,0)),"")</f>
        <v/>
      </c>
      <c r="G138" s="7" t="str">
        <f t="array" ref="G138">IFERROR(INDEX(Base_Estudiantes!$D$4:$D$505,MATCH(D138,Base_Estudiantes!$C$4:$C$505,0)),"")</f>
        <v/>
      </c>
      <c r="H138" s="7" t="str">
        <f t="array" ref="H138">IFERROR(INDEX(Base_Estudiantes!$F$4:$F$505,MATCH(D138,Base_Estudiantes!$C$4:$C$505,0)),"")</f>
        <v/>
      </c>
      <c r="I138" s="7" t="str">
        <f t="array" ref="I138">IFERROR(INDEX(Base_Estudiantes!$G$4:$G$505,MATCH(D138,Base_Estudiantes!$C$4:$C$505,0)),"")</f>
        <v/>
      </c>
      <c r="J138" s="7" t="str">
        <f t="array" ref="J138">IFERROR(INDEX(Base_Estudiantes!$H$4:$H$505,MATCH(D138,Base_Estudiantes!$C$4:$C$505,0)),"")</f>
        <v/>
      </c>
      <c r="K138" s="5"/>
      <c r="L138" s="5"/>
      <c r="M138" s="5"/>
      <c r="N138" s="5"/>
      <c r="O138" s="5"/>
      <c r="P138" s="5"/>
      <c r="Q138" s="5"/>
      <c r="R138" s="20"/>
      <c r="S138" s="5"/>
      <c r="T138" s="5"/>
    </row>
    <row r="139" spans="1:20" ht="15.75" customHeight="1">
      <c r="A139" s="19" t="str">
        <f t="shared" si="0"/>
        <v/>
      </c>
      <c r="B139" s="6"/>
      <c r="C139" s="20"/>
      <c r="D139" s="5"/>
      <c r="E139" s="7" t="str">
        <f t="array" ref="E139">IFERROR(INDEX(Base_Estudiantes!$A$4:$A$505,MATCH(D139,Base_Estudiantes!$C$4:$C$505,0)),"")</f>
        <v/>
      </c>
      <c r="F139" s="7" t="str">
        <f t="array" ref="F139">IFERROR(INDEX(Base_Estudiantes!$B$4:$B$505,MATCH(D139,Base_Estudiantes!$C$4:$C$505,0)),"")</f>
        <v/>
      </c>
      <c r="G139" s="7" t="str">
        <f t="array" ref="G139">IFERROR(INDEX(Base_Estudiantes!$D$4:$D$505,MATCH(D139,Base_Estudiantes!$C$4:$C$505,0)),"")</f>
        <v/>
      </c>
      <c r="H139" s="7" t="str">
        <f t="array" ref="H139">IFERROR(INDEX(Base_Estudiantes!$F$4:$F$505,MATCH(D139,Base_Estudiantes!$C$4:$C$505,0)),"")</f>
        <v/>
      </c>
      <c r="I139" s="7" t="str">
        <f t="array" ref="I139">IFERROR(INDEX(Base_Estudiantes!$G$4:$G$505,MATCH(D139,Base_Estudiantes!$C$4:$C$505,0)),"")</f>
        <v/>
      </c>
      <c r="J139" s="7" t="str">
        <f t="array" ref="J139">IFERROR(INDEX(Base_Estudiantes!$H$4:$H$505,MATCH(D139,Base_Estudiantes!$C$4:$C$505,0)),"")</f>
        <v/>
      </c>
      <c r="K139" s="5"/>
      <c r="L139" s="5"/>
      <c r="M139" s="5"/>
      <c r="N139" s="5"/>
      <c r="O139" s="5"/>
      <c r="P139" s="5"/>
      <c r="Q139" s="5"/>
      <c r="R139" s="20"/>
      <c r="S139" s="5"/>
      <c r="T139" s="5"/>
    </row>
    <row r="140" spans="1:20" ht="15.75" customHeight="1">
      <c r="A140" s="19" t="str">
        <f t="shared" si="0"/>
        <v/>
      </c>
      <c r="B140" s="6"/>
      <c r="C140" s="20"/>
      <c r="D140" s="5"/>
      <c r="E140" s="7" t="str">
        <f t="array" ref="E140">IFERROR(INDEX(Base_Estudiantes!$A$4:$A$505,MATCH(D140,Base_Estudiantes!$C$4:$C$505,0)),"")</f>
        <v/>
      </c>
      <c r="F140" s="7" t="str">
        <f t="array" ref="F140">IFERROR(INDEX(Base_Estudiantes!$B$4:$B$505,MATCH(D140,Base_Estudiantes!$C$4:$C$505,0)),"")</f>
        <v/>
      </c>
      <c r="G140" s="7" t="str">
        <f t="array" ref="G140">IFERROR(INDEX(Base_Estudiantes!$D$4:$D$505,MATCH(D140,Base_Estudiantes!$C$4:$C$505,0)),"")</f>
        <v/>
      </c>
      <c r="H140" s="7" t="str">
        <f t="array" ref="H140">IFERROR(INDEX(Base_Estudiantes!$F$4:$F$505,MATCH(D140,Base_Estudiantes!$C$4:$C$505,0)),"")</f>
        <v/>
      </c>
      <c r="I140" s="7" t="str">
        <f t="array" ref="I140">IFERROR(INDEX(Base_Estudiantes!$G$4:$G$505,MATCH(D140,Base_Estudiantes!$C$4:$C$505,0)),"")</f>
        <v/>
      </c>
      <c r="J140" s="7" t="str">
        <f t="array" ref="J140">IFERROR(INDEX(Base_Estudiantes!$H$4:$H$505,MATCH(D140,Base_Estudiantes!$C$4:$C$505,0)),"")</f>
        <v/>
      </c>
      <c r="K140" s="5"/>
      <c r="L140" s="5"/>
      <c r="M140" s="5"/>
      <c r="N140" s="5"/>
      <c r="O140" s="5"/>
      <c r="P140" s="5"/>
      <c r="Q140" s="5"/>
      <c r="R140" s="20"/>
      <c r="S140" s="5"/>
      <c r="T140" s="5"/>
    </row>
    <row r="141" spans="1:20" ht="15.75" customHeight="1">
      <c r="A141" s="19" t="str">
        <f t="shared" si="0"/>
        <v/>
      </c>
      <c r="B141" s="6"/>
      <c r="C141" s="20"/>
      <c r="D141" s="5"/>
      <c r="E141" s="7" t="str">
        <f t="array" ref="E141">IFERROR(INDEX(Base_Estudiantes!$A$4:$A$505,MATCH(D141,Base_Estudiantes!$C$4:$C$505,0)),"")</f>
        <v/>
      </c>
      <c r="F141" s="7" t="str">
        <f t="array" ref="F141">IFERROR(INDEX(Base_Estudiantes!$B$4:$B$505,MATCH(D141,Base_Estudiantes!$C$4:$C$505,0)),"")</f>
        <v/>
      </c>
      <c r="G141" s="7" t="str">
        <f t="array" ref="G141">IFERROR(INDEX(Base_Estudiantes!$D$4:$D$505,MATCH(D141,Base_Estudiantes!$C$4:$C$505,0)),"")</f>
        <v/>
      </c>
      <c r="H141" s="7" t="str">
        <f t="array" ref="H141">IFERROR(INDEX(Base_Estudiantes!$F$4:$F$505,MATCH(D141,Base_Estudiantes!$C$4:$C$505,0)),"")</f>
        <v/>
      </c>
      <c r="I141" s="7" t="str">
        <f t="array" ref="I141">IFERROR(INDEX(Base_Estudiantes!$G$4:$G$505,MATCH(D141,Base_Estudiantes!$C$4:$C$505,0)),"")</f>
        <v/>
      </c>
      <c r="J141" s="7" t="str">
        <f t="array" ref="J141">IFERROR(INDEX(Base_Estudiantes!$H$4:$H$505,MATCH(D141,Base_Estudiantes!$C$4:$C$505,0)),"")</f>
        <v/>
      </c>
      <c r="K141" s="5"/>
      <c r="L141" s="5"/>
      <c r="M141" s="5"/>
      <c r="N141" s="5"/>
      <c r="O141" s="5"/>
      <c r="P141" s="5"/>
      <c r="Q141" s="5"/>
      <c r="R141" s="20"/>
      <c r="S141" s="5"/>
      <c r="T141" s="5"/>
    </row>
    <row r="142" spans="1:20" ht="15.75" customHeight="1">
      <c r="A142" s="19" t="str">
        <f t="shared" si="0"/>
        <v/>
      </c>
      <c r="B142" s="6"/>
      <c r="C142" s="20"/>
      <c r="D142" s="5"/>
      <c r="E142" s="7" t="str">
        <f t="array" ref="E142">IFERROR(INDEX(Base_Estudiantes!$A$4:$A$505,MATCH(D142,Base_Estudiantes!$C$4:$C$505,0)),"")</f>
        <v/>
      </c>
      <c r="F142" s="7" t="str">
        <f t="array" ref="F142">IFERROR(INDEX(Base_Estudiantes!$B$4:$B$505,MATCH(D142,Base_Estudiantes!$C$4:$C$505,0)),"")</f>
        <v/>
      </c>
      <c r="G142" s="7" t="str">
        <f t="array" ref="G142">IFERROR(INDEX(Base_Estudiantes!$D$4:$D$505,MATCH(D142,Base_Estudiantes!$C$4:$C$505,0)),"")</f>
        <v/>
      </c>
      <c r="H142" s="7" t="str">
        <f t="array" ref="H142">IFERROR(INDEX(Base_Estudiantes!$F$4:$F$505,MATCH(D142,Base_Estudiantes!$C$4:$C$505,0)),"")</f>
        <v/>
      </c>
      <c r="I142" s="7" t="str">
        <f t="array" ref="I142">IFERROR(INDEX(Base_Estudiantes!$G$4:$G$505,MATCH(D142,Base_Estudiantes!$C$4:$C$505,0)),"")</f>
        <v/>
      </c>
      <c r="J142" s="7" t="str">
        <f t="array" ref="J142">IFERROR(INDEX(Base_Estudiantes!$H$4:$H$505,MATCH(D142,Base_Estudiantes!$C$4:$C$505,0)),"")</f>
        <v/>
      </c>
      <c r="K142" s="5"/>
      <c r="L142" s="5"/>
      <c r="M142" s="5"/>
      <c r="N142" s="5"/>
      <c r="O142" s="5"/>
      <c r="P142" s="5"/>
      <c r="Q142" s="5"/>
      <c r="R142" s="20"/>
      <c r="S142" s="5"/>
      <c r="T142" s="5"/>
    </row>
    <row r="143" spans="1:20" ht="15.75" customHeight="1">
      <c r="A143" s="19" t="str">
        <f t="shared" si="0"/>
        <v/>
      </c>
      <c r="B143" s="6"/>
      <c r="C143" s="20"/>
      <c r="D143" s="5"/>
      <c r="E143" s="7" t="str">
        <f t="array" ref="E143">IFERROR(INDEX(Base_Estudiantes!$A$4:$A$505,MATCH(D143,Base_Estudiantes!$C$4:$C$505,0)),"")</f>
        <v/>
      </c>
      <c r="F143" s="7" t="str">
        <f t="array" ref="F143">IFERROR(INDEX(Base_Estudiantes!$B$4:$B$505,MATCH(D143,Base_Estudiantes!$C$4:$C$505,0)),"")</f>
        <v/>
      </c>
      <c r="G143" s="7" t="str">
        <f t="array" ref="G143">IFERROR(INDEX(Base_Estudiantes!$D$4:$D$505,MATCH(D143,Base_Estudiantes!$C$4:$C$505,0)),"")</f>
        <v/>
      </c>
      <c r="H143" s="7" t="str">
        <f t="array" ref="H143">IFERROR(INDEX(Base_Estudiantes!$F$4:$F$505,MATCH(D143,Base_Estudiantes!$C$4:$C$505,0)),"")</f>
        <v/>
      </c>
      <c r="I143" s="7" t="str">
        <f t="array" ref="I143">IFERROR(INDEX(Base_Estudiantes!$G$4:$G$505,MATCH(D143,Base_Estudiantes!$C$4:$C$505,0)),"")</f>
        <v/>
      </c>
      <c r="J143" s="7" t="str">
        <f t="array" ref="J143">IFERROR(INDEX(Base_Estudiantes!$H$4:$H$505,MATCH(D143,Base_Estudiantes!$C$4:$C$505,0)),"")</f>
        <v/>
      </c>
      <c r="K143" s="5"/>
      <c r="L143" s="5"/>
      <c r="M143" s="5"/>
      <c r="N143" s="5"/>
      <c r="O143" s="5"/>
      <c r="P143" s="5"/>
      <c r="Q143" s="5"/>
      <c r="R143" s="20"/>
      <c r="S143" s="5"/>
      <c r="T143" s="5"/>
    </row>
    <row r="144" spans="1:20" ht="15.75" customHeight="1">
      <c r="A144" s="19" t="str">
        <f t="shared" si="0"/>
        <v/>
      </c>
      <c r="B144" s="6"/>
      <c r="C144" s="20"/>
      <c r="D144" s="5"/>
      <c r="E144" s="7" t="str">
        <f t="array" ref="E144">IFERROR(INDEX(Base_Estudiantes!$A$4:$A$505,MATCH(D144,Base_Estudiantes!$C$4:$C$505,0)),"")</f>
        <v/>
      </c>
      <c r="F144" s="7" t="str">
        <f t="array" ref="F144">IFERROR(INDEX(Base_Estudiantes!$B$4:$B$505,MATCH(D144,Base_Estudiantes!$C$4:$C$505,0)),"")</f>
        <v/>
      </c>
      <c r="G144" s="7" t="str">
        <f t="array" ref="G144">IFERROR(INDEX(Base_Estudiantes!$D$4:$D$505,MATCH(D144,Base_Estudiantes!$C$4:$C$505,0)),"")</f>
        <v/>
      </c>
      <c r="H144" s="7" t="str">
        <f t="array" ref="H144">IFERROR(INDEX(Base_Estudiantes!$F$4:$F$505,MATCH(D144,Base_Estudiantes!$C$4:$C$505,0)),"")</f>
        <v/>
      </c>
      <c r="I144" s="7" t="str">
        <f t="array" ref="I144">IFERROR(INDEX(Base_Estudiantes!$G$4:$G$505,MATCH(D144,Base_Estudiantes!$C$4:$C$505,0)),"")</f>
        <v/>
      </c>
      <c r="J144" s="7" t="str">
        <f t="array" ref="J144">IFERROR(INDEX(Base_Estudiantes!$H$4:$H$505,MATCH(D144,Base_Estudiantes!$C$4:$C$505,0)),"")</f>
        <v/>
      </c>
      <c r="K144" s="5"/>
      <c r="L144" s="5"/>
      <c r="M144" s="5"/>
      <c r="N144" s="5"/>
      <c r="O144" s="5"/>
      <c r="P144" s="5"/>
      <c r="Q144" s="5"/>
      <c r="R144" s="20"/>
      <c r="S144" s="5"/>
      <c r="T144" s="5"/>
    </row>
    <row r="145" spans="1:20" ht="15.75" customHeight="1">
      <c r="A145" s="19" t="str">
        <f t="shared" si="0"/>
        <v/>
      </c>
      <c r="B145" s="6"/>
      <c r="C145" s="20"/>
      <c r="D145" s="5"/>
      <c r="E145" s="7" t="str">
        <f t="array" ref="E145">IFERROR(INDEX(Base_Estudiantes!$A$4:$A$505,MATCH(D145,Base_Estudiantes!$C$4:$C$505,0)),"")</f>
        <v/>
      </c>
      <c r="F145" s="7" t="str">
        <f t="array" ref="F145">IFERROR(INDEX(Base_Estudiantes!$B$4:$B$505,MATCH(D145,Base_Estudiantes!$C$4:$C$505,0)),"")</f>
        <v/>
      </c>
      <c r="G145" s="7" t="str">
        <f t="array" ref="G145">IFERROR(INDEX(Base_Estudiantes!$D$4:$D$505,MATCH(D145,Base_Estudiantes!$C$4:$C$505,0)),"")</f>
        <v/>
      </c>
      <c r="H145" s="7" t="str">
        <f t="array" ref="H145">IFERROR(INDEX(Base_Estudiantes!$F$4:$F$505,MATCH(D145,Base_Estudiantes!$C$4:$C$505,0)),"")</f>
        <v/>
      </c>
      <c r="I145" s="7" t="str">
        <f t="array" ref="I145">IFERROR(INDEX(Base_Estudiantes!$G$4:$G$505,MATCH(D145,Base_Estudiantes!$C$4:$C$505,0)),"")</f>
        <v/>
      </c>
      <c r="J145" s="7" t="str">
        <f t="array" ref="J145">IFERROR(INDEX(Base_Estudiantes!$H$4:$H$505,MATCH(D145,Base_Estudiantes!$C$4:$C$505,0)),"")</f>
        <v/>
      </c>
      <c r="K145" s="5"/>
      <c r="L145" s="5"/>
      <c r="M145" s="5"/>
      <c r="N145" s="5"/>
      <c r="O145" s="5"/>
      <c r="P145" s="5"/>
      <c r="Q145" s="5"/>
      <c r="R145" s="20"/>
      <c r="S145" s="5"/>
      <c r="T145" s="5"/>
    </row>
    <row r="146" spans="1:20" ht="15.75" customHeight="1">
      <c r="A146" s="19" t="str">
        <f t="shared" si="0"/>
        <v/>
      </c>
      <c r="B146" s="6"/>
      <c r="C146" s="20"/>
      <c r="D146" s="5"/>
      <c r="E146" s="7" t="str">
        <f t="array" ref="E146">IFERROR(INDEX(Base_Estudiantes!$A$4:$A$505,MATCH(D146,Base_Estudiantes!$C$4:$C$505,0)),"")</f>
        <v/>
      </c>
      <c r="F146" s="7" t="str">
        <f t="array" ref="F146">IFERROR(INDEX(Base_Estudiantes!$B$4:$B$505,MATCH(D146,Base_Estudiantes!$C$4:$C$505,0)),"")</f>
        <v/>
      </c>
      <c r="G146" s="7" t="str">
        <f t="array" ref="G146">IFERROR(INDEX(Base_Estudiantes!$D$4:$D$505,MATCH(D146,Base_Estudiantes!$C$4:$C$505,0)),"")</f>
        <v/>
      </c>
      <c r="H146" s="7" t="str">
        <f t="array" ref="H146">IFERROR(INDEX(Base_Estudiantes!$F$4:$F$505,MATCH(D146,Base_Estudiantes!$C$4:$C$505,0)),"")</f>
        <v/>
      </c>
      <c r="I146" s="7" t="str">
        <f t="array" ref="I146">IFERROR(INDEX(Base_Estudiantes!$G$4:$G$505,MATCH(D146,Base_Estudiantes!$C$4:$C$505,0)),"")</f>
        <v/>
      </c>
      <c r="J146" s="7" t="str">
        <f t="array" ref="J146">IFERROR(INDEX(Base_Estudiantes!$H$4:$H$505,MATCH(D146,Base_Estudiantes!$C$4:$C$505,0)),"")</f>
        <v/>
      </c>
      <c r="K146" s="5"/>
      <c r="L146" s="5"/>
      <c r="M146" s="5"/>
      <c r="N146" s="5"/>
      <c r="O146" s="5"/>
      <c r="P146" s="5"/>
      <c r="Q146" s="5"/>
      <c r="R146" s="20"/>
      <c r="S146" s="5"/>
      <c r="T146" s="5"/>
    </row>
    <row r="147" spans="1:20" ht="15.75" customHeight="1">
      <c r="A147" s="19" t="str">
        <f t="shared" si="0"/>
        <v/>
      </c>
      <c r="B147" s="6"/>
      <c r="C147" s="20"/>
      <c r="D147" s="5"/>
      <c r="E147" s="7" t="str">
        <f t="array" ref="E147">IFERROR(INDEX(Base_Estudiantes!$A$4:$A$505,MATCH(D147,Base_Estudiantes!$C$4:$C$505,0)),"")</f>
        <v/>
      </c>
      <c r="F147" s="7" t="str">
        <f t="array" ref="F147">IFERROR(INDEX(Base_Estudiantes!$B$4:$B$505,MATCH(D147,Base_Estudiantes!$C$4:$C$505,0)),"")</f>
        <v/>
      </c>
      <c r="G147" s="7" t="str">
        <f t="array" ref="G147">IFERROR(INDEX(Base_Estudiantes!$D$4:$D$505,MATCH(D147,Base_Estudiantes!$C$4:$C$505,0)),"")</f>
        <v/>
      </c>
      <c r="H147" s="7" t="str">
        <f t="array" ref="H147">IFERROR(INDEX(Base_Estudiantes!$F$4:$F$505,MATCH(D147,Base_Estudiantes!$C$4:$C$505,0)),"")</f>
        <v/>
      </c>
      <c r="I147" s="7" t="str">
        <f t="array" ref="I147">IFERROR(INDEX(Base_Estudiantes!$G$4:$G$505,MATCH(D147,Base_Estudiantes!$C$4:$C$505,0)),"")</f>
        <v/>
      </c>
      <c r="J147" s="7" t="str">
        <f t="array" ref="J147">IFERROR(INDEX(Base_Estudiantes!$H$4:$H$505,MATCH(D147,Base_Estudiantes!$C$4:$C$505,0)),"")</f>
        <v/>
      </c>
      <c r="K147" s="5"/>
      <c r="L147" s="5"/>
      <c r="M147" s="5"/>
      <c r="N147" s="5"/>
      <c r="O147" s="5"/>
      <c r="P147" s="5"/>
      <c r="Q147" s="5"/>
      <c r="R147" s="20"/>
      <c r="S147" s="5"/>
      <c r="T147" s="5"/>
    </row>
    <row r="148" spans="1:20" ht="15.75" customHeight="1">
      <c r="A148" s="19" t="str">
        <f t="shared" si="0"/>
        <v/>
      </c>
      <c r="B148" s="6"/>
      <c r="C148" s="20"/>
      <c r="D148" s="5"/>
      <c r="E148" s="7" t="str">
        <f t="array" ref="E148">IFERROR(INDEX(Base_Estudiantes!$A$4:$A$505,MATCH(D148,Base_Estudiantes!$C$4:$C$505,0)),"")</f>
        <v/>
      </c>
      <c r="F148" s="7" t="str">
        <f t="array" ref="F148">IFERROR(INDEX(Base_Estudiantes!$B$4:$B$505,MATCH(D148,Base_Estudiantes!$C$4:$C$505,0)),"")</f>
        <v/>
      </c>
      <c r="G148" s="7" t="str">
        <f t="array" ref="G148">IFERROR(INDEX(Base_Estudiantes!$D$4:$D$505,MATCH(D148,Base_Estudiantes!$C$4:$C$505,0)),"")</f>
        <v/>
      </c>
      <c r="H148" s="7" t="str">
        <f t="array" ref="H148">IFERROR(INDEX(Base_Estudiantes!$F$4:$F$505,MATCH(D148,Base_Estudiantes!$C$4:$C$505,0)),"")</f>
        <v/>
      </c>
      <c r="I148" s="7" t="str">
        <f t="array" ref="I148">IFERROR(INDEX(Base_Estudiantes!$G$4:$G$505,MATCH(D148,Base_Estudiantes!$C$4:$C$505,0)),"")</f>
        <v/>
      </c>
      <c r="J148" s="7" t="str">
        <f t="array" ref="J148">IFERROR(INDEX(Base_Estudiantes!$H$4:$H$505,MATCH(D148,Base_Estudiantes!$C$4:$C$505,0)),"")</f>
        <v/>
      </c>
      <c r="K148" s="5"/>
      <c r="L148" s="5"/>
      <c r="M148" s="5"/>
      <c r="N148" s="5"/>
      <c r="O148" s="5"/>
      <c r="P148" s="5"/>
      <c r="Q148" s="5"/>
      <c r="R148" s="20"/>
      <c r="S148" s="5"/>
      <c r="T148" s="5"/>
    </row>
    <row r="149" spans="1:20" ht="15.75" customHeight="1">
      <c r="A149" s="19" t="str">
        <f t="shared" si="0"/>
        <v/>
      </c>
      <c r="B149" s="6"/>
      <c r="C149" s="20"/>
      <c r="D149" s="5"/>
      <c r="E149" s="7" t="str">
        <f t="array" ref="E149">IFERROR(INDEX(Base_Estudiantes!$A$4:$A$505,MATCH(D149,Base_Estudiantes!$C$4:$C$505,0)),"")</f>
        <v/>
      </c>
      <c r="F149" s="7" t="str">
        <f t="array" ref="F149">IFERROR(INDEX(Base_Estudiantes!$B$4:$B$505,MATCH(D149,Base_Estudiantes!$C$4:$C$505,0)),"")</f>
        <v/>
      </c>
      <c r="G149" s="7" t="str">
        <f t="array" ref="G149">IFERROR(INDEX(Base_Estudiantes!$D$4:$D$505,MATCH(D149,Base_Estudiantes!$C$4:$C$505,0)),"")</f>
        <v/>
      </c>
      <c r="H149" s="7" t="str">
        <f t="array" ref="H149">IFERROR(INDEX(Base_Estudiantes!$F$4:$F$505,MATCH(D149,Base_Estudiantes!$C$4:$C$505,0)),"")</f>
        <v/>
      </c>
      <c r="I149" s="7" t="str">
        <f t="array" ref="I149">IFERROR(INDEX(Base_Estudiantes!$G$4:$G$505,MATCH(D149,Base_Estudiantes!$C$4:$C$505,0)),"")</f>
        <v/>
      </c>
      <c r="J149" s="7" t="str">
        <f t="array" ref="J149">IFERROR(INDEX(Base_Estudiantes!$H$4:$H$505,MATCH(D149,Base_Estudiantes!$C$4:$C$505,0)),"")</f>
        <v/>
      </c>
      <c r="K149" s="5"/>
      <c r="L149" s="5"/>
      <c r="M149" s="5"/>
      <c r="N149" s="5"/>
      <c r="O149" s="5"/>
      <c r="P149" s="5"/>
      <c r="Q149" s="5"/>
      <c r="R149" s="20"/>
      <c r="S149" s="5"/>
      <c r="T149" s="5"/>
    </row>
    <row r="150" spans="1:20" ht="15.75" customHeight="1">
      <c r="A150" s="19" t="str">
        <f t="shared" si="0"/>
        <v/>
      </c>
      <c r="B150" s="6"/>
      <c r="C150" s="20"/>
      <c r="D150" s="5"/>
      <c r="E150" s="7" t="str">
        <f t="array" ref="E150">IFERROR(INDEX(Base_Estudiantes!$A$4:$A$505,MATCH(D150,Base_Estudiantes!$C$4:$C$505,0)),"")</f>
        <v/>
      </c>
      <c r="F150" s="7" t="str">
        <f t="array" ref="F150">IFERROR(INDEX(Base_Estudiantes!$B$4:$B$505,MATCH(D150,Base_Estudiantes!$C$4:$C$505,0)),"")</f>
        <v/>
      </c>
      <c r="G150" s="7" t="str">
        <f t="array" ref="G150">IFERROR(INDEX(Base_Estudiantes!$D$4:$D$505,MATCH(D150,Base_Estudiantes!$C$4:$C$505,0)),"")</f>
        <v/>
      </c>
      <c r="H150" s="7" t="str">
        <f t="array" ref="H150">IFERROR(INDEX(Base_Estudiantes!$F$4:$F$505,MATCH(D150,Base_Estudiantes!$C$4:$C$505,0)),"")</f>
        <v/>
      </c>
      <c r="I150" s="7" t="str">
        <f t="array" ref="I150">IFERROR(INDEX(Base_Estudiantes!$G$4:$G$505,MATCH(D150,Base_Estudiantes!$C$4:$C$505,0)),"")</f>
        <v/>
      </c>
      <c r="J150" s="7" t="str">
        <f t="array" ref="J150">IFERROR(INDEX(Base_Estudiantes!$H$4:$H$505,MATCH(D150,Base_Estudiantes!$C$4:$C$505,0)),"")</f>
        <v/>
      </c>
      <c r="K150" s="5"/>
      <c r="L150" s="5"/>
      <c r="M150" s="5"/>
      <c r="N150" s="5"/>
      <c r="O150" s="5"/>
      <c r="P150" s="5"/>
      <c r="Q150" s="5"/>
      <c r="R150" s="20"/>
      <c r="S150" s="5"/>
      <c r="T150" s="5"/>
    </row>
    <row r="151" spans="1:20" ht="15.75" customHeight="1">
      <c r="A151" s="19" t="str">
        <f t="shared" si="0"/>
        <v/>
      </c>
      <c r="B151" s="6"/>
      <c r="C151" s="20"/>
      <c r="D151" s="5"/>
      <c r="E151" s="7" t="str">
        <f t="array" ref="E151">IFERROR(INDEX(Base_Estudiantes!$A$4:$A$505,MATCH(D151,Base_Estudiantes!$C$4:$C$505,0)),"")</f>
        <v/>
      </c>
      <c r="F151" s="7" t="str">
        <f t="array" ref="F151">IFERROR(INDEX(Base_Estudiantes!$B$4:$B$505,MATCH(D151,Base_Estudiantes!$C$4:$C$505,0)),"")</f>
        <v/>
      </c>
      <c r="G151" s="7" t="str">
        <f t="array" ref="G151">IFERROR(INDEX(Base_Estudiantes!$D$4:$D$505,MATCH(D151,Base_Estudiantes!$C$4:$C$505,0)),"")</f>
        <v/>
      </c>
      <c r="H151" s="7" t="str">
        <f t="array" ref="H151">IFERROR(INDEX(Base_Estudiantes!$F$4:$F$505,MATCH(D151,Base_Estudiantes!$C$4:$C$505,0)),"")</f>
        <v/>
      </c>
      <c r="I151" s="7" t="str">
        <f t="array" ref="I151">IFERROR(INDEX(Base_Estudiantes!$G$4:$G$505,MATCH(D151,Base_Estudiantes!$C$4:$C$505,0)),"")</f>
        <v/>
      </c>
      <c r="J151" s="7" t="str">
        <f t="array" ref="J151">IFERROR(INDEX(Base_Estudiantes!$H$4:$H$505,MATCH(D151,Base_Estudiantes!$C$4:$C$505,0)),"")</f>
        <v/>
      </c>
      <c r="K151" s="5"/>
      <c r="L151" s="5"/>
      <c r="M151" s="5"/>
      <c r="N151" s="5"/>
      <c r="O151" s="5"/>
      <c r="P151" s="5"/>
      <c r="Q151" s="5"/>
      <c r="R151" s="20"/>
      <c r="S151" s="5"/>
      <c r="T151" s="5"/>
    </row>
    <row r="152" spans="1:20" ht="15.75" customHeight="1">
      <c r="A152" s="19" t="str">
        <f t="shared" si="0"/>
        <v/>
      </c>
      <c r="B152" s="6"/>
      <c r="C152" s="20"/>
      <c r="D152" s="5"/>
      <c r="E152" s="7" t="str">
        <f t="array" ref="E152">IFERROR(INDEX(Base_Estudiantes!$A$4:$A$505,MATCH(D152,Base_Estudiantes!$C$4:$C$505,0)),"")</f>
        <v/>
      </c>
      <c r="F152" s="7" t="str">
        <f t="array" ref="F152">IFERROR(INDEX(Base_Estudiantes!$B$4:$B$505,MATCH(D152,Base_Estudiantes!$C$4:$C$505,0)),"")</f>
        <v/>
      </c>
      <c r="G152" s="7" t="str">
        <f t="array" ref="G152">IFERROR(INDEX(Base_Estudiantes!$D$4:$D$505,MATCH(D152,Base_Estudiantes!$C$4:$C$505,0)),"")</f>
        <v/>
      </c>
      <c r="H152" s="7" t="str">
        <f t="array" ref="H152">IFERROR(INDEX(Base_Estudiantes!$F$4:$F$505,MATCH(D152,Base_Estudiantes!$C$4:$C$505,0)),"")</f>
        <v/>
      </c>
      <c r="I152" s="7" t="str">
        <f t="array" ref="I152">IFERROR(INDEX(Base_Estudiantes!$G$4:$G$505,MATCH(D152,Base_Estudiantes!$C$4:$C$505,0)),"")</f>
        <v/>
      </c>
      <c r="J152" s="7" t="str">
        <f t="array" ref="J152">IFERROR(INDEX(Base_Estudiantes!$H$4:$H$505,MATCH(D152,Base_Estudiantes!$C$4:$C$505,0)),"")</f>
        <v/>
      </c>
      <c r="K152" s="5"/>
      <c r="L152" s="5"/>
      <c r="M152" s="5"/>
      <c r="N152" s="5"/>
      <c r="O152" s="5"/>
      <c r="P152" s="5"/>
      <c r="Q152" s="5"/>
      <c r="R152" s="20"/>
      <c r="S152" s="5"/>
      <c r="T152" s="5"/>
    </row>
    <row r="153" spans="1:20" ht="15.75" customHeight="1">
      <c r="A153" s="19" t="str">
        <f t="shared" si="0"/>
        <v/>
      </c>
      <c r="B153" s="6"/>
      <c r="C153" s="20"/>
      <c r="D153" s="5"/>
      <c r="E153" s="7" t="str">
        <f t="array" ref="E153">IFERROR(INDEX(Base_Estudiantes!$A$4:$A$505,MATCH(D153,Base_Estudiantes!$C$4:$C$505,0)),"")</f>
        <v/>
      </c>
      <c r="F153" s="7" t="str">
        <f t="array" ref="F153">IFERROR(INDEX(Base_Estudiantes!$B$4:$B$505,MATCH(D153,Base_Estudiantes!$C$4:$C$505,0)),"")</f>
        <v/>
      </c>
      <c r="G153" s="7" t="str">
        <f t="array" ref="G153">IFERROR(INDEX(Base_Estudiantes!$D$4:$D$505,MATCH(D153,Base_Estudiantes!$C$4:$C$505,0)),"")</f>
        <v/>
      </c>
      <c r="H153" s="7" t="str">
        <f t="array" ref="H153">IFERROR(INDEX(Base_Estudiantes!$F$4:$F$505,MATCH(D153,Base_Estudiantes!$C$4:$C$505,0)),"")</f>
        <v/>
      </c>
      <c r="I153" s="7" t="str">
        <f t="array" ref="I153">IFERROR(INDEX(Base_Estudiantes!$G$4:$G$505,MATCH(D153,Base_Estudiantes!$C$4:$C$505,0)),"")</f>
        <v/>
      </c>
      <c r="J153" s="7" t="str">
        <f t="array" ref="J153">IFERROR(INDEX(Base_Estudiantes!$H$4:$H$505,MATCH(D153,Base_Estudiantes!$C$4:$C$505,0)),"")</f>
        <v/>
      </c>
      <c r="K153" s="5"/>
      <c r="L153" s="5"/>
      <c r="M153" s="5"/>
      <c r="N153" s="5"/>
      <c r="O153" s="5"/>
      <c r="P153" s="5"/>
      <c r="Q153" s="5"/>
      <c r="R153" s="20"/>
      <c r="S153" s="5"/>
      <c r="T153" s="5"/>
    </row>
    <row r="154" spans="1:20" ht="15.75" customHeight="1">
      <c r="A154" s="19" t="str">
        <f t="shared" si="0"/>
        <v/>
      </c>
      <c r="B154" s="6"/>
      <c r="C154" s="20"/>
      <c r="D154" s="5"/>
      <c r="E154" s="7" t="str">
        <f t="array" ref="E154">IFERROR(INDEX(Base_Estudiantes!$A$4:$A$505,MATCH(D154,Base_Estudiantes!$C$4:$C$505,0)),"")</f>
        <v/>
      </c>
      <c r="F154" s="7" t="str">
        <f t="array" ref="F154">IFERROR(INDEX(Base_Estudiantes!$B$4:$B$505,MATCH(D154,Base_Estudiantes!$C$4:$C$505,0)),"")</f>
        <v/>
      </c>
      <c r="G154" s="7" t="str">
        <f t="array" ref="G154">IFERROR(INDEX(Base_Estudiantes!$D$4:$D$505,MATCH(D154,Base_Estudiantes!$C$4:$C$505,0)),"")</f>
        <v/>
      </c>
      <c r="H154" s="7" t="str">
        <f t="array" ref="H154">IFERROR(INDEX(Base_Estudiantes!$F$4:$F$505,MATCH(D154,Base_Estudiantes!$C$4:$C$505,0)),"")</f>
        <v/>
      </c>
      <c r="I154" s="7" t="str">
        <f t="array" ref="I154">IFERROR(INDEX(Base_Estudiantes!$G$4:$G$505,MATCH(D154,Base_Estudiantes!$C$4:$C$505,0)),"")</f>
        <v/>
      </c>
      <c r="J154" s="7" t="str">
        <f t="array" ref="J154">IFERROR(INDEX(Base_Estudiantes!$H$4:$H$505,MATCH(D154,Base_Estudiantes!$C$4:$C$505,0)),"")</f>
        <v/>
      </c>
      <c r="K154" s="5"/>
      <c r="L154" s="5"/>
      <c r="M154" s="5"/>
      <c r="N154" s="5"/>
      <c r="O154" s="5"/>
      <c r="P154" s="5"/>
      <c r="Q154" s="5"/>
      <c r="R154" s="20"/>
      <c r="S154" s="5"/>
      <c r="T154" s="5"/>
    </row>
    <row r="155" spans="1:20" ht="15.75" customHeight="1">
      <c r="A155" s="19" t="str">
        <f t="shared" si="0"/>
        <v/>
      </c>
      <c r="B155" s="6"/>
      <c r="C155" s="20"/>
      <c r="D155" s="5"/>
      <c r="E155" s="7" t="str">
        <f t="array" ref="E155">IFERROR(INDEX(Base_Estudiantes!$A$4:$A$505,MATCH(D155,Base_Estudiantes!$C$4:$C$505,0)),"")</f>
        <v/>
      </c>
      <c r="F155" s="7" t="str">
        <f t="array" ref="F155">IFERROR(INDEX(Base_Estudiantes!$B$4:$B$505,MATCH(D155,Base_Estudiantes!$C$4:$C$505,0)),"")</f>
        <v/>
      </c>
      <c r="G155" s="7" t="str">
        <f t="array" ref="G155">IFERROR(INDEX(Base_Estudiantes!$D$4:$D$505,MATCH(D155,Base_Estudiantes!$C$4:$C$505,0)),"")</f>
        <v/>
      </c>
      <c r="H155" s="7" t="str">
        <f t="array" ref="H155">IFERROR(INDEX(Base_Estudiantes!$F$4:$F$505,MATCH(D155,Base_Estudiantes!$C$4:$C$505,0)),"")</f>
        <v/>
      </c>
      <c r="I155" s="7" t="str">
        <f t="array" ref="I155">IFERROR(INDEX(Base_Estudiantes!$G$4:$G$505,MATCH(D155,Base_Estudiantes!$C$4:$C$505,0)),"")</f>
        <v/>
      </c>
      <c r="J155" s="7" t="str">
        <f t="array" ref="J155">IFERROR(INDEX(Base_Estudiantes!$H$4:$H$505,MATCH(D155,Base_Estudiantes!$C$4:$C$505,0)),"")</f>
        <v/>
      </c>
      <c r="K155" s="5"/>
      <c r="L155" s="5"/>
      <c r="M155" s="5"/>
      <c r="N155" s="5"/>
      <c r="O155" s="5"/>
      <c r="P155" s="5"/>
      <c r="Q155" s="5"/>
      <c r="R155" s="20"/>
      <c r="S155" s="5"/>
      <c r="T155" s="5"/>
    </row>
    <row r="156" spans="1:20" ht="15.75" customHeight="1">
      <c r="A156" s="19" t="str">
        <f t="shared" si="0"/>
        <v/>
      </c>
      <c r="B156" s="6"/>
      <c r="C156" s="20"/>
      <c r="D156" s="5"/>
      <c r="E156" s="7" t="str">
        <f t="array" ref="E156">IFERROR(INDEX(Base_Estudiantes!$A$4:$A$505,MATCH(D156,Base_Estudiantes!$C$4:$C$505,0)),"")</f>
        <v/>
      </c>
      <c r="F156" s="7" t="str">
        <f t="array" ref="F156">IFERROR(INDEX(Base_Estudiantes!$B$4:$B$505,MATCH(D156,Base_Estudiantes!$C$4:$C$505,0)),"")</f>
        <v/>
      </c>
      <c r="G156" s="7" t="str">
        <f t="array" ref="G156">IFERROR(INDEX(Base_Estudiantes!$D$4:$D$505,MATCH(D156,Base_Estudiantes!$C$4:$C$505,0)),"")</f>
        <v/>
      </c>
      <c r="H156" s="7" t="str">
        <f t="array" ref="H156">IFERROR(INDEX(Base_Estudiantes!$F$4:$F$505,MATCH(D156,Base_Estudiantes!$C$4:$C$505,0)),"")</f>
        <v/>
      </c>
      <c r="I156" s="7" t="str">
        <f t="array" ref="I156">IFERROR(INDEX(Base_Estudiantes!$G$4:$G$505,MATCH(D156,Base_Estudiantes!$C$4:$C$505,0)),"")</f>
        <v/>
      </c>
      <c r="J156" s="7" t="str">
        <f t="array" ref="J156">IFERROR(INDEX(Base_Estudiantes!$H$4:$H$505,MATCH(D156,Base_Estudiantes!$C$4:$C$505,0)),"")</f>
        <v/>
      </c>
      <c r="K156" s="5"/>
      <c r="L156" s="5"/>
      <c r="M156" s="5"/>
      <c r="N156" s="5"/>
      <c r="O156" s="5"/>
      <c r="P156" s="5"/>
      <c r="Q156" s="5"/>
      <c r="R156" s="20"/>
      <c r="S156" s="5"/>
      <c r="T156" s="5"/>
    </row>
    <row r="157" spans="1:20" ht="15.75" customHeight="1">
      <c r="A157" s="19" t="str">
        <f t="shared" si="0"/>
        <v/>
      </c>
      <c r="B157" s="6"/>
      <c r="C157" s="20"/>
      <c r="D157" s="5"/>
      <c r="E157" s="7" t="str">
        <f t="array" ref="E157">IFERROR(INDEX(Base_Estudiantes!$A$4:$A$505,MATCH(D157,Base_Estudiantes!$C$4:$C$505,0)),"")</f>
        <v/>
      </c>
      <c r="F157" s="7" t="str">
        <f t="array" ref="F157">IFERROR(INDEX(Base_Estudiantes!$B$4:$B$505,MATCH(D157,Base_Estudiantes!$C$4:$C$505,0)),"")</f>
        <v/>
      </c>
      <c r="G157" s="7" t="str">
        <f t="array" ref="G157">IFERROR(INDEX(Base_Estudiantes!$D$4:$D$505,MATCH(D157,Base_Estudiantes!$C$4:$C$505,0)),"")</f>
        <v/>
      </c>
      <c r="H157" s="7" t="str">
        <f t="array" ref="H157">IFERROR(INDEX(Base_Estudiantes!$F$4:$F$505,MATCH(D157,Base_Estudiantes!$C$4:$C$505,0)),"")</f>
        <v/>
      </c>
      <c r="I157" s="7" t="str">
        <f t="array" ref="I157">IFERROR(INDEX(Base_Estudiantes!$G$4:$G$505,MATCH(D157,Base_Estudiantes!$C$4:$C$505,0)),"")</f>
        <v/>
      </c>
      <c r="J157" s="7" t="str">
        <f t="array" ref="J157">IFERROR(INDEX(Base_Estudiantes!$H$4:$H$505,MATCH(D157,Base_Estudiantes!$C$4:$C$505,0)),"")</f>
        <v/>
      </c>
      <c r="K157" s="5"/>
      <c r="L157" s="5"/>
      <c r="M157" s="5"/>
      <c r="N157" s="5"/>
      <c r="O157" s="5"/>
      <c r="P157" s="5"/>
      <c r="Q157" s="5"/>
      <c r="R157" s="20"/>
      <c r="S157" s="5"/>
      <c r="T157" s="5"/>
    </row>
    <row r="158" spans="1:20" ht="15.75" customHeight="1">
      <c r="A158" s="19" t="str">
        <f t="shared" si="0"/>
        <v/>
      </c>
      <c r="B158" s="6"/>
      <c r="C158" s="20"/>
      <c r="D158" s="5"/>
      <c r="E158" s="7" t="str">
        <f t="array" ref="E158">IFERROR(INDEX(Base_Estudiantes!$A$4:$A$505,MATCH(D158,Base_Estudiantes!$C$4:$C$505,0)),"")</f>
        <v/>
      </c>
      <c r="F158" s="7" t="str">
        <f t="array" ref="F158">IFERROR(INDEX(Base_Estudiantes!$B$4:$B$505,MATCH(D158,Base_Estudiantes!$C$4:$C$505,0)),"")</f>
        <v/>
      </c>
      <c r="G158" s="7" t="str">
        <f t="array" ref="G158">IFERROR(INDEX(Base_Estudiantes!$D$4:$D$505,MATCH(D158,Base_Estudiantes!$C$4:$C$505,0)),"")</f>
        <v/>
      </c>
      <c r="H158" s="7" t="str">
        <f t="array" ref="H158">IFERROR(INDEX(Base_Estudiantes!$F$4:$F$505,MATCH(D158,Base_Estudiantes!$C$4:$C$505,0)),"")</f>
        <v/>
      </c>
      <c r="I158" s="7" t="str">
        <f t="array" ref="I158">IFERROR(INDEX(Base_Estudiantes!$G$4:$G$505,MATCH(D158,Base_Estudiantes!$C$4:$C$505,0)),"")</f>
        <v/>
      </c>
      <c r="J158" s="7" t="str">
        <f t="array" ref="J158">IFERROR(INDEX(Base_Estudiantes!$H$4:$H$505,MATCH(D158,Base_Estudiantes!$C$4:$C$505,0)),"")</f>
        <v/>
      </c>
      <c r="K158" s="5"/>
      <c r="L158" s="5"/>
      <c r="M158" s="5"/>
      <c r="N158" s="5"/>
      <c r="O158" s="5"/>
      <c r="P158" s="5"/>
      <c r="Q158" s="5"/>
      <c r="R158" s="20"/>
      <c r="S158" s="5"/>
      <c r="T158" s="5"/>
    </row>
    <row r="159" spans="1:20" ht="15.75" customHeight="1">
      <c r="A159" s="19" t="str">
        <f t="shared" si="0"/>
        <v/>
      </c>
      <c r="B159" s="6"/>
      <c r="C159" s="20"/>
      <c r="D159" s="5"/>
      <c r="E159" s="7" t="str">
        <f t="array" ref="E159">IFERROR(INDEX(Base_Estudiantes!$A$4:$A$505,MATCH(D159,Base_Estudiantes!$C$4:$C$505,0)),"")</f>
        <v/>
      </c>
      <c r="F159" s="7" t="str">
        <f t="array" ref="F159">IFERROR(INDEX(Base_Estudiantes!$B$4:$B$505,MATCH(D159,Base_Estudiantes!$C$4:$C$505,0)),"")</f>
        <v/>
      </c>
      <c r="G159" s="7" t="str">
        <f t="array" ref="G159">IFERROR(INDEX(Base_Estudiantes!$D$4:$D$505,MATCH(D159,Base_Estudiantes!$C$4:$C$505,0)),"")</f>
        <v/>
      </c>
      <c r="H159" s="7" t="str">
        <f t="array" ref="H159">IFERROR(INDEX(Base_Estudiantes!$F$4:$F$505,MATCH(D159,Base_Estudiantes!$C$4:$C$505,0)),"")</f>
        <v/>
      </c>
      <c r="I159" s="7" t="str">
        <f t="array" ref="I159">IFERROR(INDEX(Base_Estudiantes!$G$4:$G$505,MATCH(D159,Base_Estudiantes!$C$4:$C$505,0)),"")</f>
        <v/>
      </c>
      <c r="J159" s="7" t="str">
        <f t="array" ref="J159">IFERROR(INDEX(Base_Estudiantes!$H$4:$H$505,MATCH(D159,Base_Estudiantes!$C$4:$C$505,0)),"")</f>
        <v/>
      </c>
      <c r="K159" s="5"/>
      <c r="L159" s="5"/>
      <c r="M159" s="5"/>
      <c r="N159" s="5"/>
      <c r="O159" s="5"/>
      <c r="P159" s="5"/>
      <c r="Q159" s="5"/>
      <c r="R159" s="20"/>
      <c r="S159" s="5"/>
      <c r="T159" s="5"/>
    </row>
    <row r="160" spans="1:20" ht="15.75" customHeight="1">
      <c r="A160" s="19" t="str">
        <f t="shared" si="0"/>
        <v/>
      </c>
      <c r="B160" s="6"/>
      <c r="C160" s="20"/>
      <c r="D160" s="5"/>
      <c r="E160" s="7" t="str">
        <f t="array" ref="E160">IFERROR(INDEX(Base_Estudiantes!$A$4:$A$505,MATCH(D160,Base_Estudiantes!$C$4:$C$505,0)),"")</f>
        <v/>
      </c>
      <c r="F160" s="7" t="str">
        <f t="array" ref="F160">IFERROR(INDEX(Base_Estudiantes!$B$4:$B$505,MATCH(D160,Base_Estudiantes!$C$4:$C$505,0)),"")</f>
        <v/>
      </c>
      <c r="G160" s="7" t="str">
        <f t="array" ref="G160">IFERROR(INDEX(Base_Estudiantes!$D$4:$D$505,MATCH(D160,Base_Estudiantes!$C$4:$C$505,0)),"")</f>
        <v/>
      </c>
      <c r="H160" s="7" t="str">
        <f t="array" ref="H160">IFERROR(INDEX(Base_Estudiantes!$F$4:$F$505,MATCH(D160,Base_Estudiantes!$C$4:$C$505,0)),"")</f>
        <v/>
      </c>
      <c r="I160" s="7" t="str">
        <f t="array" ref="I160">IFERROR(INDEX(Base_Estudiantes!$G$4:$G$505,MATCH(D160,Base_Estudiantes!$C$4:$C$505,0)),"")</f>
        <v/>
      </c>
      <c r="J160" s="7" t="str">
        <f t="array" ref="J160">IFERROR(INDEX(Base_Estudiantes!$H$4:$H$505,MATCH(D160,Base_Estudiantes!$C$4:$C$505,0)),"")</f>
        <v/>
      </c>
      <c r="K160" s="5"/>
      <c r="L160" s="5"/>
      <c r="M160" s="5"/>
      <c r="N160" s="5"/>
      <c r="O160" s="5"/>
      <c r="P160" s="5"/>
      <c r="Q160" s="5"/>
      <c r="R160" s="20"/>
      <c r="S160" s="5"/>
      <c r="T160" s="5"/>
    </row>
    <row r="161" spans="1:20" ht="15.75" customHeight="1">
      <c r="A161" s="19" t="str">
        <f t="shared" si="0"/>
        <v/>
      </c>
      <c r="B161" s="6"/>
      <c r="C161" s="20"/>
      <c r="D161" s="5"/>
      <c r="E161" s="7" t="str">
        <f t="array" ref="E161">IFERROR(INDEX(Base_Estudiantes!$A$4:$A$505,MATCH(D161,Base_Estudiantes!$C$4:$C$505,0)),"")</f>
        <v/>
      </c>
      <c r="F161" s="7" t="str">
        <f t="array" ref="F161">IFERROR(INDEX(Base_Estudiantes!$B$4:$B$505,MATCH(D161,Base_Estudiantes!$C$4:$C$505,0)),"")</f>
        <v/>
      </c>
      <c r="G161" s="7" t="str">
        <f t="array" ref="G161">IFERROR(INDEX(Base_Estudiantes!$D$4:$D$505,MATCH(D161,Base_Estudiantes!$C$4:$C$505,0)),"")</f>
        <v/>
      </c>
      <c r="H161" s="7" t="str">
        <f t="array" ref="H161">IFERROR(INDEX(Base_Estudiantes!$F$4:$F$505,MATCH(D161,Base_Estudiantes!$C$4:$C$505,0)),"")</f>
        <v/>
      </c>
      <c r="I161" s="7" t="str">
        <f t="array" ref="I161">IFERROR(INDEX(Base_Estudiantes!$G$4:$G$505,MATCH(D161,Base_Estudiantes!$C$4:$C$505,0)),"")</f>
        <v/>
      </c>
      <c r="J161" s="7" t="str">
        <f t="array" ref="J161">IFERROR(INDEX(Base_Estudiantes!$H$4:$H$505,MATCH(D161,Base_Estudiantes!$C$4:$C$505,0)),"")</f>
        <v/>
      </c>
      <c r="K161" s="5"/>
      <c r="L161" s="5"/>
      <c r="M161" s="5"/>
      <c r="N161" s="5"/>
      <c r="O161" s="5"/>
      <c r="P161" s="5"/>
      <c r="Q161" s="5"/>
      <c r="R161" s="20"/>
      <c r="S161" s="5"/>
      <c r="T161" s="5"/>
    </row>
    <row r="162" spans="1:20" ht="15.75" customHeight="1">
      <c r="A162" s="19" t="str">
        <f t="shared" si="0"/>
        <v/>
      </c>
      <c r="B162" s="6"/>
      <c r="C162" s="20"/>
      <c r="D162" s="5"/>
      <c r="E162" s="7" t="str">
        <f t="array" ref="E162">IFERROR(INDEX(Base_Estudiantes!$A$4:$A$505,MATCH(D162,Base_Estudiantes!$C$4:$C$505,0)),"")</f>
        <v/>
      </c>
      <c r="F162" s="7" t="str">
        <f t="array" ref="F162">IFERROR(INDEX(Base_Estudiantes!$B$4:$B$505,MATCH(D162,Base_Estudiantes!$C$4:$C$505,0)),"")</f>
        <v/>
      </c>
      <c r="G162" s="7" t="str">
        <f t="array" ref="G162">IFERROR(INDEX(Base_Estudiantes!$D$4:$D$505,MATCH(D162,Base_Estudiantes!$C$4:$C$505,0)),"")</f>
        <v/>
      </c>
      <c r="H162" s="7" t="str">
        <f t="array" ref="H162">IFERROR(INDEX(Base_Estudiantes!$F$4:$F$505,MATCH(D162,Base_Estudiantes!$C$4:$C$505,0)),"")</f>
        <v/>
      </c>
      <c r="I162" s="7" t="str">
        <f t="array" ref="I162">IFERROR(INDEX(Base_Estudiantes!$G$4:$G$505,MATCH(D162,Base_Estudiantes!$C$4:$C$505,0)),"")</f>
        <v/>
      </c>
      <c r="J162" s="7" t="str">
        <f t="array" ref="J162">IFERROR(INDEX(Base_Estudiantes!$H$4:$H$505,MATCH(D162,Base_Estudiantes!$C$4:$C$505,0)),"")</f>
        <v/>
      </c>
      <c r="K162" s="5"/>
      <c r="L162" s="5"/>
      <c r="M162" s="5"/>
      <c r="N162" s="5"/>
      <c r="O162" s="5"/>
      <c r="P162" s="5"/>
      <c r="Q162" s="5"/>
      <c r="R162" s="20"/>
      <c r="S162" s="5"/>
      <c r="T162" s="5"/>
    </row>
    <row r="163" spans="1:20" ht="15.75" customHeight="1">
      <c r="A163" s="19" t="str">
        <f t="shared" si="0"/>
        <v/>
      </c>
      <c r="B163" s="6"/>
      <c r="C163" s="20"/>
      <c r="D163" s="5"/>
      <c r="E163" s="7" t="str">
        <f t="array" ref="E163">IFERROR(INDEX(Base_Estudiantes!$A$4:$A$505,MATCH(D163,Base_Estudiantes!$C$4:$C$505,0)),"")</f>
        <v/>
      </c>
      <c r="F163" s="7" t="str">
        <f t="array" ref="F163">IFERROR(INDEX(Base_Estudiantes!$B$4:$B$505,MATCH(D163,Base_Estudiantes!$C$4:$C$505,0)),"")</f>
        <v/>
      </c>
      <c r="G163" s="7" t="str">
        <f t="array" ref="G163">IFERROR(INDEX(Base_Estudiantes!$D$4:$D$505,MATCH(D163,Base_Estudiantes!$C$4:$C$505,0)),"")</f>
        <v/>
      </c>
      <c r="H163" s="7" t="str">
        <f t="array" ref="H163">IFERROR(INDEX(Base_Estudiantes!$F$4:$F$505,MATCH(D163,Base_Estudiantes!$C$4:$C$505,0)),"")</f>
        <v/>
      </c>
      <c r="I163" s="7" t="str">
        <f t="array" ref="I163">IFERROR(INDEX(Base_Estudiantes!$G$4:$G$505,MATCH(D163,Base_Estudiantes!$C$4:$C$505,0)),"")</f>
        <v/>
      </c>
      <c r="J163" s="7" t="str">
        <f t="array" ref="J163">IFERROR(INDEX(Base_Estudiantes!$H$4:$H$505,MATCH(D163,Base_Estudiantes!$C$4:$C$505,0)),"")</f>
        <v/>
      </c>
      <c r="K163" s="5"/>
      <c r="L163" s="5"/>
      <c r="M163" s="5"/>
      <c r="N163" s="5"/>
      <c r="O163" s="5"/>
      <c r="P163" s="5"/>
      <c r="Q163" s="5"/>
      <c r="R163" s="20"/>
      <c r="S163" s="5"/>
      <c r="T163" s="5"/>
    </row>
    <row r="164" spans="1:20" ht="15.75" customHeight="1">
      <c r="A164" s="19" t="str">
        <f t="shared" si="0"/>
        <v/>
      </c>
      <c r="B164" s="6"/>
      <c r="C164" s="20"/>
      <c r="D164" s="5"/>
      <c r="E164" s="7" t="str">
        <f t="array" ref="E164">IFERROR(INDEX(Base_Estudiantes!$A$4:$A$505,MATCH(D164,Base_Estudiantes!$C$4:$C$505,0)),"")</f>
        <v/>
      </c>
      <c r="F164" s="7" t="str">
        <f t="array" ref="F164">IFERROR(INDEX(Base_Estudiantes!$B$4:$B$505,MATCH(D164,Base_Estudiantes!$C$4:$C$505,0)),"")</f>
        <v/>
      </c>
      <c r="G164" s="7" t="str">
        <f t="array" ref="G164">IFERROR(INDEX(Base_Estudiantes!$D$4:$D$505,MATCH(D164,Base_Estudiantes!$C$4:$C$505,0)),"")</f>
        <v/>
      </c>
      <c r="H164" s="7" t="str">
        <f t="array" ref="H164">IFERROR(INDEX(Base_Estudiantes!$F$4:$F$505,MATCH(D164,Base_Estudiantes!$C$4:$C$505,0)),"")</f>
        <v/>
      </c>
      <c r="I164" s="7" t="str">
        <f t="array" ref="I164">IFERROR(INDEX(Base_Estudiantes!$G$4:$G$505,MATCH(D164,Base_Estudiantes!$C$4:$C$505,0)),"")</f>
        <v/>
      </c>
      <c r="J164" s="7" t="str">
        <f t="array" ref="J164">IFERROR(INDEX(Base_Estudiantes!$H$4:$H$505,MATCH(D164,Base_Estudiantes!$C$4:$C$505,0)),"")</f>
        <v/>
      </c>
      <c r="K164" s="5"/>
      <c r="L164" s="5"/>
      <c r="M164" s="5"/>
      <c r="N164" s="5"/>
      <c r="O164" s="5"/>
      <c r="P164" s="5"/>
      <c r="Q164" s="5"/>
      <c r="R164" s="20"/>
      <c r="S164" s="5"/>
      <c r="T164" s="5"/>
    </row>
    <row r="165" spans="1:20" ht="15.75" customHeight="1">
      <c r="A165" s="19" t="str">
        <f t="shared" si="0"/>
        <v/>
      </c>
      <c r="B165" s="6"/>
      <c r="C165" s="20"/>
      <c r="D165" s="5"/>
      <c r="E165" s="7" t="str">
        <f t="array" ref="E165">IFERROR(INDEX(Base_Estudiantes!$A$4:$A$505,MATCH(D165,Base_Estudiantes!$C$4:$C$505,0)),"")</f>
        <v/>
      </c>
      <c r="F165" s="7" t="str">
        <f t="array" ref="F165">IFERROR(INDEX(Base_Estudiantes!$B$4:$B$505,MATCH(D165,Base_Estudiantes!$C$4:$C$505,0)),"")</f>
        <v/>
      </c>
      <c r="G165" s="7" t="str">
        <f t="array" ref="G165">IFERROR(INDEX(Base_Estudiantes!$D$4:$D$505,MATCH(D165,Base_Estudiantes!$C$4:$C$505,0)),"")</f>
        <v/>
      </c>
      <c r="H165" s="7" t="str">
        <f t="array" ref="H165">IFERROR(INDEX(Base_Estudiantes!$F$4:$F$505,MATCH(D165,Base_Estudiantes!$C$4:$C$505,0)),"")</f>
        <v/>
      </c>
      <c r="I165" s="7" t="str">
        <f t="array" ref="I165">IFERROR(INDEX(Base_Estudiantes!$G$4:$G$505,MATCH(D165,Base_Estudiantes!$C$4:$C$505,0)),"")</f>
        <v/>
      </c>
      <c r="J165" s="7" t="str">
        <f t="array" ref="J165">IFERROR(INDEX(Base_Estudiantes!$H$4:$H$505,MATCH(D165,Base_Estudiantes!$C$4:$C$505,0)),"")</f>
        <v/>
      </c>
      <c r="K165" s="5"/>
      <c r="L165" s="5"/>
      <c r="M165" s="5"/>
      <c r="N165" s="5"/>
      <c r="O165" s="5"/>
      <c r="P165" s="5"/>
      <c r="Q165" s="5"/>
      <c r="R165" s="20"/>
      <c r="S165" s="5"/>
      <c r="T165" s="5"/>
    </row>
    <row r="166" spans="1:20" ht="15.75" customHeight="1">
      <c r="A166" s="19" t="str">
        <f t="shared" si="0"/>
        <v/>
      </c>
      <c r="B166" s="6"/>
      <c r="C166" s="20"/>
      <c r="D166" s="5"/>
      <c r="E166" s="7" t="str">
        <f t="array" ref="E166">IFERROR(INDEX(Base_Estudiantes!$A$4:$A$505,MATCH(D166,Base_Estudiantes!$C$4:$C$505,0)),"")</f>
        <v/>
      </c>
      <c r="F166" s="7" t="str">
        <f t="array" ref="F166">IFERROR(INDEX(Base_Estudiantes!$B$4:$B$505,MATCH(D166,Base_Estudiantes!$C$4:$C$505,0)),"")</f>
        <v/>
      </c>
      <c r="G166" s="7" t="str">
        <f t="array" ref="G166">IFERROR(INDEX(Base_Estudiantes!$D$4:$D$505,MATCH(D166,Base_Estudiantes!$C$4:$C$505,0)),"")</f>
        <v/>
      </c>
      <c r="H166" s="7" t="str">
        <f t="array" ref="H166">IFERROR(INDEX(Base_Estudiantes!$F$4:$F$505,MATCH(D166,Base_Estudiantes!$C$4:$C$505,0)),"")</f>
        <v/>
      </c>
      <c r="I166" s="7" t="str">
        <f t="array" ref="I166">IFERROR(INDEX(Base_Estudiantes!$G$4:$G$505,MATCH(D166,Base_Estudiantes!$C$4:$C$505,0)),"")</f>
        <v/>
      </c>
      <c r="J166" s="7" t="str">
        <f t="array" ref="J166">IFERROR(INDEX(Base_Estudiantes!$H$4:$H$505,MATCH(D166,Base_Estudiantes!$C$4:$C$505,0)),"")</f>
        <v/>
      </c>
      <c r="K166" s="5"/>
      <c r="L166" s="5"/>
      <c r="M166" s="5"/>
      <c r="N166" s="5"/>
      <c r="O166" s="5"/>
      <c r="P166" s="5"/>
      <c r="Q166" s="5"/>
      <c r="R166" s="20"/>
      <c r="S166" s="5"/>
      <c r="T166" s="5"/>
    </row>
    <row r="167" spans="1:20" ht="15.75" customHeight="1">
      <c r="A167" s="19" t="str">
        <f t="shared" si="0"/>
        <v/>
      </c>
      <c r="B167" s="6"/>
      <c r="C167" s="20"/>
      <c r="D167" s="5"/>
      <c r="E167" s="7" t="str">
        <f t="array" ref="E167">IFERROR(INDEX(Base_Estudiantes!$A$4:$A$505,MATCH(D167,Base_Estudiantes!$C$4:$C$505,0)),"")</f>
        <v/>
      </c>
      <c r="F167" s="7" t="str">
        <f t="array" ref="F167">IFERROR(INDEX(Base_Estudiantes!$B$4:$B$505,MATCH(D167,Base_Estudiantes!$C$4:$C$505,0)),"")</f>
        <v/>
      </c>
      <c r="G167" s="7" t="str">
        <f t="array" ref="G167">IFERROR(INDEX(Base_Estudiantes!$D$4:$D$505,MATCH(D167,Base_Estudiantes!$C$4:$C$505,0)),"")</f>
        <v/>
      </c>
      <c r="H167" s="7" t="str">
        <f t="array" ref="H167">IFERROR(INDEX(Base_Estudiantes!$F$4:$F$505,MATCH(D167,Base_Estudiantes!$C$4:$C$505,0)),"")</f>
        <v/>
      </c>
      <c r="I167" s="7" t="str">
        <f t="array" ref="I167">IFERROR(INDEX(Base_Estudiantes!$G$4:$G$505,MATCH(D167,Base_Estudiantes!$C$4:$C$505,0)),"")</f>
        <v/>
      </c>
      <c r="J167" s="7" t="str">
        <f t="array" ref="J167">IFERROR(INDEX(Base_Estudiantes!$H$4:$H$505,MATCH(D167,Base_Estudiantes!$C$4:$C$505,0)),"")</f>
        <v/>
      </c>
      <c r="K167" s="5"/>
      <c r="L167" s="5"/>
      <c r="M167" s="5"/>
      <c r="N167" s="5"/>
      <c r="O167" s="5"/>
      <c r="P167" s="5"/>
      <c r="Q167" s="5"/>
      <c r="R167" s="20"/>
      <c r="S167" s="5"/>
      <c r="T167" s="5"/>
    </row>
    <row r="168" spans="1:20" ht="15.75" customHeight="1">
      <c r="A168" s="19" t="str">
        <f t="shared" si="0"/>
        <v/>
      </c>
      <c r="B168" s="6"/>
      <c r="C168" s="20"/>
      <c r="D168" s="5"/>
      <c r="E168" s="7" t="str">
        <f t="array" ref="E168">IFERROR(INDEX(Base_Estudiantes!$A$4:$A$505,MATCH(D168,Base_Estudiantes!$C$4:$C$505,0)),"")</f>
        <v/>
      </c>
      <c r="F168" s="7" t="str">
        <f t="array" ref="F168">IFERROR(INDEX(Base_Estudiantes!$B$4:$B$505,MATCH(D168,Base_Estudiantes!$C$4:$C$505,0)),"")</f>
        <v/>
      </c>
      <c r="G168" s="7" t="str">
        <f t="array" ref="G168">IFERROR(INDEX(Base_Estudiantes!$D$4:$D$505,MATCH(D168,Base_Estudiantes!$C$4:$C$505,0)),"")</f>
        <v/>
      </c>
      <c r="H168" s="7" t="str">
        <f t="array" ref="H168">IFERROR(INDEX(Base_Estudiantes!$F$4:$F$505,MATCH(D168,Base_Estudiantes!$C$4:$C$505,0)),"")</f>
        <v/>
      </c>
      <c r="I168" s="7" t="str">
        <f t="array" ref="I168">IFERROR(INDEX(Base_Estudiantes!$G$4:$G$505,MATCH(D168,Base_Estudiantes!$C$4:$C$505,0)),"")</f>
        <v/>
      </c>
      <c r="J168" s="7" t="str">
        <f t="array" ref="J168">IFERROR(INDEX(Base_Estudiantes!$H$4:$H$505,MATCH(D168,Base_Estudiantes!$C$4:$C$505,0)),"")</f>
        <v/>
      </c>
      <c r="K168" s="5"/>
      <c r="L168" s="5"/>
      <c r="M168" s="5"/>
      <c r="N168" s="5"/>
      <c r="O168" s="5"/>
      <c r="P168" s="5"/>
      <c r="Q168" s="5"/>
      <c r="R168" s="20"/>
      <c r="S168" s="5"/>
      <c r="T168" s="5"/>
    </row>
    <row r="169" spans="1:20" ht="15.75" customHeight="1">
      <c r="A169" s="19" t="str">
        <f t="shared" si="0"/>
        <v/>
      </c>
      <c r="B169" s="6"/>
      <c r="C169" s="20"/>
      <c r="D169" s="5"/>
      <c r="E169" s="7" t="str">
        <f t="array" ref="E169">IFERROR(INDEX(Base_Estudiantes!$A$4:$A$505,MATCH(D169,Base_Estudiantes!$C$4:$C$505,0)),"")</f>
        <v/>
      </c>
      <c r="F169" s="7" t="str">
        <f t="array" ref="F169">IFERROR(INDEX(Base_Estudiantes!$B$4:$B$505,MATCH(D169,Base_Estudiantes!$C$4:$C$505,0)),"")</f>
        <v/>
      </c>
      <c r="G169" s="7" t="str">
        <f t="array" ref="G169">IFERROR(INDEX(Base_Estudiantes!$D$4:$D$505,MATCH(D169,Base_Estudiantes!$C$4:$C$505,0)),"")</f>
        <v/>
      </c>
      <c r="H169" s="7" t="str">
        <f t="array" ref="H169">IFERROR(INDEX(Base_Estudiantes!$F$4:$F$505,MATCH(D169,Base_Estudiantes!$C$4:$C$505,0)),"")</f>
        <v/>
      </c>
      <c r="I169" s="7" t="str">
        <f t="array" ref="I169">IFERROR(INDEX(Base_Estudiantes!$G$4:$G$505,MATCH(D169,Base_Estudiantes!$C$4:$C$505,0)),"")</f>
        <v/>
      </c>
      <c r="J169" s="7" t="str">
        <f t="array" ref="J169">IFERROR(INDEX(Base_Estudiantes!$H$4:$H$505,MATCH(D169,Base_Estudiantes!$C$4:$C$505,0)),"")</f>
        <v/>
      </c>
      <c r="K169" s="5"/>
      <c r="L169" s="5"/>
      <c r="M169" s="5"/>
      <c r="N169" s="5"/>
      <c r="O169" s="5"/>
      <c r="P169" s="5"/>
      <c r="Q169" s="5"/>
      <c r="R169" s="20"/>
      <c r="S169" s="5"/>
      <c r="T169" s="5"/>
    </row>
    <row r="170" spans="1:20" ht="15.75" customHeight="1">
      <c r="A170" s="19" t="str">
        <f t="shared" si="0"/>
        <v/>
      </c>
      <c r="B170" s="6"/>
      <c r="C170" s="20"/>
      <c r="D170" s="5"/>
      <c r="E170" s="7" t="str">
        <f t="array" ref="E170">IFERROR(INDEX(Base_Estudiantes!$A$4:$A$505,MATCH(D170,Base_Estudiantes!$C$4:$C$505,0)),"")</f>
        <v/>
      </c>
      <c r="F170" s="7" t="str">
        <f t="array" ref="F170">IFERROR(INDEX(Base_Estudiantes!$B$4:$B$505,MATCH(D170,Base_Estudiantes!$C$4:$C$505,0)),"")</f>
        <v/>
      </c>
      <c r="G170" s="7" t="str">
        <f t="array" ref="G170">IFERROR(INDEX(Base_Estudiantes!$D$4:$D$505,MATCH(D170,Base_Estudiantes!$C$4:$C$505,0)),"")</f>
        <v/>
      </c>
      <c r="H170" s="7" t="str">
        <f t="array" ref="H170">IFERROR(INDEX(Base_Estudiantes!$F$4:$F$505,MATCH(D170,Base_Estudiantes!$C$4:$C$505,0)),"")</f>
        <v/>
      </c>
      <c r="I170" s="7" t="str">
        <f t="array" ref="I170">IFERROR(INDEX(Base_Estudiantes!$G$4:$G$505,MATCH(D170,Base_Estudiantes!$C$4:$C$505,0)),"")</f>
        <v/>
      </c>
      <c r="J170" s="7" t="str">
        <f t="array" ref="J170">IFERROR(INDEX(Base_Estudiantes!$H$4:$H$505,MATCH(D170,Base_Estudiantes!$C$4:$C$505,0)),"")</f>
        <v/>
      </c>
      <c r="K170" s="5"/>
      <c r="L170" s="5"/>
      <c r="M170" s="5"/>
      <c r="N170" s="5"/>
      <c r="O170" s="5"/>
      <c r="P170" s="5"/>
      <c r="Q170" s="5"/>
      <c r="R170" s="20"/>
      <c r="S170" s="5"/>
      <c r="T170" s="5"/>
    </row>
    <row r="171" spans="1:20" ht="15.75" customHeight="1">
      <c r="A171" s="19" t="str">
        <f t="shared" si="0"/>
        <v/>
      </c>
      <c r="B171" s="6"/>
      <c r="C171" s="20"/>
      <c r="D171" s="5"/>
      <c r="E171" s="7" t="str">
        <f t="array" ref="E171">IFERROR(INDEX(Base_Estudiantes!$A$4:$A$505,MATCH(D171,Base_Estudiantes!$C$4:$C$505,0)),"")</f>
        <v/>
      </c>
      <c r="F171" s="7" t="str">
        <f t="array" ref="F171">IFERROR(INDEX(Base_Estudiantes!$B$4:$B$505,MATCH(D171,Base_Estudiantes!$C$4:$C$505,0)),"")</f>
        <v/>
      </c>
      <c r="G171" s="7" t="str">
        <f t="array" ref="G171">IFERROR(INDEX(Base_Estudiantes!$D$4:$D$505,MATCH(D171,Base_Estudiantes!$C$4:$C$505,0)),"")</f>
        <v/>
      </c>
      <c r="H171" s="7" t="str">
        <f t="array" ref="H171">IFERROR(INDEX(Base_Estudiantes!$F$4:$F$505,MATCH(D171,Base_Estudiantes!$C$4:$C$505,0)),"")</f>
        <v/>
      </c>
      <c r="I171" s="7" t="str">
        <f t="array" ref="I171">IFERROR(INDEX(Base_Estudiantes!$G$4:$G$505,MATCH(D171,Base_Estudiantes!$C$4:$C$505,0)),"")</f>
        <v/>
      </c>
      <c r="J171" s="7" t="str">
        <f t="array" ref="J171">IFERROR(INDEX(Base_Estudiantes!$H$4:$H$505,MATCH(D171,Base_Estudiantes!$C$4:$C$505,0)),"")</f>
        <v/>
      </c>
      <c r="K171" s="5"/>
      <c r="L171" s="5"/>
      <c r="M171" s="5"/>
      <c r="N171" s="5"/>
      <c r="O171" s="5"/>
      <c r="P171" s="5"/>
      <c r="Q171" s="5"/>
      <c r="R171" s="20"/>
      <c r="S171" s="5"/>
      <c r="T171" s="5"/>
    </row>
    <row r="172" spans="1:20" ht="15.75" customHeight="1">
      <c r="A172" s="19" t="str">
        <f t="shared" si="0"/>
        <v/>
      </c>
      <c r="B172" s="6"/>
      <c r="C172" s="20"/>
      <c r="D172" s="5"/>
      <c r="E172" s="7" t="str">
        <f t="array" ref="E172">IFERROR(INDEX(Base_Estudiantes!$A$4:$A$505,MATCH(D172,Base_Estudiantes!$C$4:$C$505,0)),"")</f>
        <v/>
      </c>
      <c r="F172" s="7" t="str">
        <f t="array" ref="F172">IFERROR(INDEX(Base_Estudiantes!$B$4:$B$505,MATCH(D172,Base_Estudiantes!$C$4:$C$505,0)),"")</f>
        <v/>
      </c>
      <c r="G172" s="7" t="str">
        <f t="array" ref="G172">IFERROR(INDEX(Base_Estudiantes!$D$4:$D$505,MATCH(D172,Base_Estudiantes!$C$4:$C$505,0)),"")</f>
        <v/>
      </c>
      <c r="H172" s="7" t="str">
        <f t="array" ref="H172">IFERROR(INDEX(Base_Estudiantes!$F$4:$F$505,MATCH(D172,Base_Estudiantes!$C$4:$C$505,0)),"")</f>
        <v/>
      </c>
      <c r="I172" s="7" t="str">
        <f t="array" ref="I172">IFERROR(INDEX(Base_Estudiantes!$G$4:$G$505,MATCH(D172,Base_Estudiantes!$C$4:$C$505,0)),"")</f>
        <v/>
      </c>
      <c r="J172" s="7" t="str">
        <f t="array" ref="J172">IFERROR(INDEX(Base_Estudiantes!$H$4:$H$505,MATCH(D172,Base_Estudiantes!$C$4:$C$505,0)),"")</f>
        <v/>
      </c>
      <c r="K172" s="5"/>
      <c r="L172" s="5"/>
      <c r="M172" s="5"/>
      <c r="N172" s="5"/>
      <c r="O172" s="5"/>
      <c r="P172" s="5"/>
      <c r="Q172" s="5"/>
      <c r="R172" s="20"/>
      <c r="S172" s="5"/>
      <c r="T172" s="5"/>
    </row>
    <row r="173" spans="1:20" ht="15.75" customHeight="1">
      <c r="A173" s="19" t="str">
        <f t="shared" si="0"/>
        <v/>
      </c>
      <c r="B173" s="6"/>
      <c r="C173" s="20"/>
      <c r="D173" s="5"/>
      <c r="E173" s="7" t="str">
        <f t="array" ref="E173">IFERROR(INDEX(Base_Estudiantes!$A$4:$A$505,MATCH(D173,Base_Estudiantes!$C$4:$C$505,0)),"")</f>
        <v/>
      </c>
      <c r="F173" s="7" t="str">
        <f t="array" ref="F173">IFERROR(INDEX(Base_Estudiantes!$B$4:$B$505,MATCH(D173,Base_Estudiantes!$C$4:$C$505,0)),"")</f>
        <v/>
      </c>
      <c r="G173" s="7" t="str">
        <f t="array" ref="G173">IFERROR(INDEX(Base_Estudiantes!$D$4:$D$505,MATCH(D173,Base_Estudiantes!$C$4:$C$505,0)),"")</f>
        <v/>
      </c>
      <c r="H173" s="7" t="str">
        <f t="array" ref="H173">IFERROR(INDEX(Base_Estudiantes!$F$4:$F$505,MATCH(D173,Base_Estudiantes!$C$4:$C$505,0)),"")</f>
        <v/>
      </c>
      <c r="I173" s="7" t="str">
        <f t="array" ref="I173">IFERROR(INDEX(Base_Estudiantes!$G$4:$G$505,MATCH(D173,Base_Estudiantes!$C$4:$C$505,0)),"")</f>
        <v/>
      </c>
      <c r="J173" s="7" t="str">
        <f t="array" ref="J173">IFERROR(INDEX(Base_Estudiantes!$H$4:$H$505,MATCH(D173,Base_Estudiantes!$C$4:$C$505,0)),"")</f>
        <v/>
      </c>
      <c r="K173" s="5"/>
      <c r="L173" s="5"/>
      <c r="M173" s="5"/>
      <c r="N173" s="5"/>
      <c r="O173" s="5"/>
      <c r="P173" s="5"/>
      <c r="Q173" s="5"/>
      <c r="R173" s="20"/>
      <c r="S173" s="5"/>
      <c r="T173" s="5"/>
    </row>
    <row r="174" spans="1:20" ht="15.75" customHeight="1">
      <c r="A174" s="19" t="str">
        <f t="shared" si="0"/>
        <v/>
      </c>
      <c r="B174" s="6"/>
      <c r="C174" s="20"/>
      <c r="D174" s="5"/>
      <c r="E174" s="7" t="str">
        <f t="array" ref="E174">IFERROR(INDEX(Base_Estudiantes!$A$4:$A$505,MATCH(D174,Base_Estudiantes!$C$4:$C$505,0)),"")</f>
        <v/>
      </c>
      <c r="F174" s="7" t="str">
        <f t="array" ref="F174">IFERROR(INDEX(Base_Estudiantes!$B$4:$B$505,MATCH(D174,Base_Estudiantes!$C$4:$C$505,0)),"")</f>
        <v/>
      </c>
      <c r="G174" s="7" t="str">
        <f t="array" ref="G174">IFERROR(INDEX(Base_Estudiantes!$D$4:$D$505,MATCH(D174,Base_Estudiantes!$C$4:$C$505,0)),"")</f>
        <v/>
      </c>
      <c r="H174" s="7" t="str">
        <f t="array" ref="H174">IFERROR(INDEX(Base_Estudiantes!$F$4:$F$505,MATCH(D174,Base_Estudiantes!$C$4:$C$505,0)),"")</f>
        <v/>
      </c>
      <c r="I174" s="7" t="str">
        <f t="array" ref="I174">IFERROR(INDEX(Base_Estudiantes!$G$4:$G$505,MATCH(D174,Base_Estudiantes!$C$4:$C$505,0)),"")</f>
        <v/>
      </c>
      <c r="J174" s="7" t="str">
        <f t="array" ref="J174">IFERROR(INDEX(Base_Estudiantes!$H$4:$H$505,MATCH(D174,Base_Estudiantes!$C$4:$C$505,0)),"")</f>
        <v/>
      </c>
      <c r="K174" s="5"/>
      <c r="L174" s="5"/>
      <c r="M174" s="5"/>
      <c r="N174" s="5"/>
      <c r="O174" s="5"/>
      <c r="P174" s="5"/>
      <c r="Q174" s="5"/>
      <c r="R174" s="20"/>
      <c r="S174" s="5"/>
      <c r="T174" s="5"/>
    </row>
    <row r="175" spans="1:20" ht="15.75" customHeight="1">
      <c r="A175" s="19" t="str">
        <f t="shared" si="0"/>
        <v/>
      </c>
      <c r="B175" s="6"/>
      <c r="C175" s="20"/>
      <c r="D175" s="5"/>
      <c r="E175" s="7" t="str">
        <f t="array" ref="E175">IFERROR(INDEX(Base_Estudiantes!$A$4:$A$505,MATCH(D175,Base_Estudiantes!$C$4:$C$505,0)),"")</f>
        <v/>
      </c>
      <c r="F175" s="7" t="str">
        <f t="array" ref="F175">IFERROR(INDEX(Base_Estudiantes!$B$4:$B$505,MATCH(D175,Base_Estudiantes!$C$4:$C$505,0)),"")</f>
        <v/>
      </c>
      <c r="G175" s="7" t="str">
        <f t="array" ref="G175">IFERROR(INDEX(Base_Estudiantes!$D$4:$D$505,MATCH(D175,Base_Estudiantes!$C$4:$C$505,0)),"")</f>
        <v/>
      </c>
      <c r="H175" s="7" t="str">
        <f t="array" ref="H175">IFERROR(INDEX(Base_Estudiantes!$F$4:$F$505,MATCH(D175,Base_Estudiantes!$C$4:$C$505,0)),"")</f>
        <v/>
      </c>
      <c r="I175" s="7" t="str">
        <f t="array" ref="I175">IFERROR(INDEX(Base_Estudiantes!$G$4:$G$505,MATCH(D175,Base_Estudiantes!$C$4:$C$505,0)),"")</f>
        <v/>
      </c>
      <c r="J175" s="7" t="str">
        <f t="array" ref="J175">IFERROR(INDEX(Base_Estudiantes!$H$4:$H$505,MATCH(D175,Base_Estudiantes!$C$4:$C$505,0)),"")</f>
        <v/>
      </c>
      <c r="K175" s="5"/>
      <c r="L175" s="5"/>
      <c r="M175" s="5"/>
      <c r="N175" s="5"/>
      <c r="O175" s="5"/>
      <c r="P175" s="5"/>
      <c r="Q175" s="5"/>
      <c r="R175" s="20"/>
      <c r="S175" s="5"/>
      <c r="T175" s="5"/>
    </row>
    <row r="176" spans="1:20" ht="15.75" customHeight="1">
      <c r="A176" s="19" t="str">
        <f t="shared" si="0"/>
        <v/>
      </c>
      <c r="B176" s="6"/>
      <c r="C176" s="20"/>
      <c r="D176" s="5"/>
      <c r="E176" s="7" t="str">
        <f t="array" ref="E176">IFERROR(INDEX(Base_Estudiantes!$A$4:$A$505,MATCH(D176,Base_Estudiantes!$C$4:$C$505,0)),"")</f>
        <v/>
      </c>
      <c r="F176" s="7" t="str">
        <f t="array" ref="F176">IFERROR(INDEX(Base_Estudiantes!$B$4:$B$505,MATCH(D176,Base_Estudiantes!$C$4:$C$505,0)),"")</f>
        <v/>
      </c>
      <c r="G176" s="7" t="str">
        <f t="array" ref="G176">IFERROR(INDEX(Base_Estudiantes!$D$4:$D$505,MATCH(D176,Base_Estudiantes!$C$4:$C$505,0)),"")</f>
        <v/>
      </c>
      <c r="H176" s="7" t="str">
        <f t="array" ref="H176">IFERROR(INDEX(Base_Estudiantes!$F$4:$F$505,MATCH(D176,Base_Estudiantes!$C$4:$C$505,0)),"")</f>
        <v/>
      </c>
      <c r="I176" s="7" t="str">
        <f t="array" ref="I176">IFERROR(INDEX(Base_Estudiantes!$G$4:$G$505,MATCH(D176,Base_Estudiantes!$C$4:$C$505,0)),"")</f>
        <v/>
      </c>
      <c r="J176" s="7" t="str">
        <f t="array" ref="J176">IFERROR(INDEX(Base_Estudiantes!$H$4:$H$505,MATCH(D176,Base_Estudiantes!$C$4:$C$505,0)),"")</f>
        <v/>
      </c>
      <c r="K176" s="5"/>
      <c r="L176" s="5"/>
      <c r="M176" s="5"/>
      <c r="N176" s="5"/>
      <c r="O176" s="5"/>
      <c r="P176" s="5"/>
      <c r="Q176" s="5"/>
      <c r="R176" s="20"/>
      <c r="S176" s="5"/>
      <c r="T176" s="5"/>
    </row>
    <row r="177" spans="1:20" ht="15.75" customHeight="1">
      <c r="A177" s="19" t="str">
        <f t="shared" si="0"/>
        <v/>
      </c>
      <c r="B177" s="6"/>
      <c r="C177" s="20"/>
      <c r="D177" s="5"/>
      <c r="E177" s="7" t="str">
        <f t="array" ref="E177">IFERROR(INDEX(Base_Estudiantes!$A$4:$A$505,MATCH(D177,Base_Estudiantes!$C$4:$C$505,0)),"")</f>
        <v/>
      </c>
      <c r="F177" s="7" t="str">
        <f t="array" ref="F177">IFERROR(INDEX(Base_Estudiantes!$B$4:$B$505,MATCH(D177,Base_Estudiantes!$C$4:$C$505,0)),"")</f>
        <v/>
      </c>
      <c r="G177" s="7" t="str">
        <f t="array" ref="G177">IFERROR(INDEX(Base_Estudiantes!$D$4:$D$505,MATCH(D177,Base_Estudiantes!$C$4:$C$505,0)),"")</f>
        <v/>
      </c>
      <c r="H177" s="7" t="str">
        <f t="array" ref="H177">IFERROR(INDEX(Base_Estudiantes!$F$4:$F$505,MATCH(D177,Base_Estudiantes!$C$4:$C$505,0)),"")</f>
        <v/>
      </c>
      <c r="I177" s="7" t="str">
        <f t="array" ref="I177">IFERROR(INDEX(Base_Estudiantes!$G$4:$G$505,MATCH(D177,Base_Estudiantes!$C$4:$C$505,0)),"")</f>
        <v/>
      </c>
      <c r="J177" s="7" t="str">
        <f t="array" ref="J177">IFERROR(INDEX(Base_Estudiantes!$H$4:$H$505,MATCH(D177,Base_Estudiantes!$C$4:$C$505,0)),"")</f>
        <v/>
      </c>
      <c r="K177" s="5"/>
      <c r="L177" s="5"/>
      <c r="M177" s="5"/>
      <c r="N177" s="5"/>
      <c r="O177" s="5"/>
      <c r="P177" s="5"/>
      <c r="Q177" s="5"/>
      <c r="R177" s="20"/>
      <c r="S177" s="5"/>
      <c r="T177" s="5"/>
    </row>
    <row r="178" spans="1:20" ht="15.75" customHeight="1">
      <c r="A178" s="19" t="str">
        <f t="shared" si="0"/>
        <v/>
      </c>
      <c r="B178" s="6"/>
      <c r="C178" s="20"/>
      <c r="D178" s="5"/>
      <c r="E178" s="7" t="str">
        <f t="array" ref="E178">IFERROR(INDEX(Base_Estudiantes!$A$4:$A$505,MATCH(D178,Base_Estudiantes!$C$4:$C$505,0)),"")</f>
        <v/>
      </c>
      <c r="F178" s="7" t="str">
        <f t="array" ref="F178">IFERROR(INDEX(Base_Estudiantes!$B$4:$B$505,MATCH(D178,Base_Estudiantes!$C$4:$C$505,0)),"")</f>
        <v/>
      </c>
      <c r="G178" s="7" t="str">
        <f t="array" ref="G178">IFERROR(INDEX(Base_Estudiantes!$D$4:$D$505,MATCH(D178,Base_Estudiantes!$C$4:$C$505,0)),"")</f>
        <v/>
      </c>
      <c r="H178" s="7" t="str">
        <f t="array" ref="H178">IFERROR(INDEX(Base_Estudiantes!$F$4:$F$505,MATCH(D178,Base_Estudiantes!$C$4:$C$505,0)),"")</f>
        <v/>
      </c>
      <c r="I178" s="7" t="str">
        <f t="array" ref="I178">IFERROR(INDEX(Base_Estudiantes!$G$4:$G$505,MATCH(D178,Base_Estudiantes!$C$4:$C$505,0)),"")</f>
        <v/>
      </c>
      <c r="J178" s="7" t="str">
        <f t="array" ref="J178">IFERROR(INDEX(Base_Estudiantes!$H$4:$H$505,MATCH(D178,Base_Estudiantes!$C$4:$C$505,0)),"")</f>
        <v/>
      </c>
      <c r="K178" s="5"/>
      <c r="L178" s="5"/>
      <c r="M178" s="5"/>
      <c r="N178" s="5"/>
      <c r="O178" s="5"/>
      <c r="P178" s="5"/>
      <c r="Q178" s="5"/>
      <c r="R178" s="20"/>
      <c r="S178" s="5"/>
      <c r="T178" s="5"/>
    </row>
    <row r="179" spans="1:20" ht="15.75" customHeight="1">
      <c r="A179" s="19" t="str">
        <f t="shared" si="0"/>
        <v/>
      </c>
      <c r="B179" s="6"/>
      <c r="C179" s="20"/>
      <c r="D179" s="5"/>
      <c r="E179" s="7" t="str">
        <f t="array" ref="E179">IFERROR(INDEX(Base_Estudiantes!$A$4:$A$505,MATCH(D179,Base_Estudiantes!$C$4:$C$505,0)),"")</f>
        <v/>
      </c>
      <c r="F179" s="7" t="str">
        <f t="array" ref="F179">IFERROR(INDEX(Base_Estudiantes!$B$4:$B$505,MATCH(D179,Base_Estudiantes!$C$4:$C$505,0)),"")</f>
        <v/>
      </c>
      <c r="G179" s="7" t="str">
        <f t="array" ref="G179">IFERROR(INDEX(Base_Estudiantes!$D$4:$D$505,MATCH(D179,Base_Estudiantes!$C$4:$C$505,0)),"")</f>
        <v/>
      </c>
      <c r="H179" s="7" t="str">
        <f t="array" ref="H179">IFERROR(INDEX(Base_Estudiantes!$F$4:$F$505,MATCH(D179,Base_Estudiantes!$C$4:$C$505,0)),"")</f>
        <v/>
      </c>
      <c r="I179" s="7" t="str">
        <f t="array" ref="I179">IFERROR(INDEX(Base_Estudiantes!$G$4:$G$505,MATCH(D179,Base_Estudiantes!$C$4:$C$505,0)),"")</f>
        <v/>
      </c>
      <c r="J179" s="7" t="str">
        <f t="array" ref="J179">IFERROR(INDEX(Base_Estudiantes!$H$4:$H$505,MATCH(D179,Base_Estudiantes!$C$4:$C$505,0)),"")</f>
        <v/>
      </c>
      <c r="K179" s="5"/>
      <c r="L179" s="5"/>
      <c r="M179" s="5"/>
      <c r="N179" s="5"/>
      <c r="O179" s="5"/>
      <c r="P179" s="5"/>
      <c r="Q179" s="5"/>
      <c r="R179" s="20"/>
      <c r="S179" s="5"/>
      <c r="T179" s="5"/>
    </row>
    <row r="180" spans="1:20" ht="15.75" customHeight="1">
      <c r="A180" s="19" t="str">
        <f t="shared" si="0"/>
        <v/>
      </c>
      <c r="B180" s="6"/>
      <c r="C180" s="20"/>
      <c r="D180" s="5"/>
      <c r="E180" s="7" t="str">
        <f t="array" ref="E180">IFERROR(INDEX(Base_Estudiantes!$A$4:$A$505,MATCH(D180,Base_Estudiantes!$C$4:$C$505,0)),"")</f>
        <v/>
      </c>
      <c r="F180" s="7" t="str">
        <f t="array" ref="F180">IFERROR(INDEX(Base_Estudiantes!$B$4:$B$505,MATCH(D180,Base_Estudiantes!$C$4:$C$505,0)),"")</f>
        <v/>
      </c>
      <c r="G180" s="7" t="str">
        <f t="array" ref="G180">IFERROR(INDEX(Base_Estudiantes!$D$4:$D$505,MATCH(D180,Base_Estudiantes!$C$4:$C$505,0)),"")</f>
        <v/>
      </c>
      <c r="H180" s="7" t="str">
        <f t="array" ref="H180">IFERROR(INDEX(Base_Estudiantes!$F$4:$F$505,MATCH(D180,Base_Estudiantes!$C$4:$C$505,0)),"")</f>
        <v/>
      </c>
      <c r="I180" s="7" t="str">
        <f t="array" ref="I180">IFERROR(INDEX(Base_Estudiantes!$G$4:$G$505,MATCH(D180,Base_Estudiantes!$C$4:$C$505,0)),"")</f>
        <v/>
      </c>
      <c r="J180" s="7" t="str">
        <f t="array" ref="J180">IFERROR(INDEX(Base_Estudiantes!$H$4:$H$505,MATCH(D180,Base_Estudiantes!$C$4:$C$505,0)),"")</f>
        <v/>
      </c>
      <c r="K180" s="5"/>
      <c r="L180" s="5"/>
      <c r="M180" s="5"/>
      <c r="N180" s="5"/>
      <c r="O180" s="5"/>
      <c r="P180" s="5"/>
      <c r="Q180" s="5"/>
      <c r="R180" s="20"/>
      <c r="S180" s="5"/>
      <c r="T180" s="5"/>
    </row>
    <row r="181" spans="1:20" ht="15.75" customHeight="1">
      <c r="A181" s="19" t="str">
        <f t="shared" si="0"/>
        <v/>
      </c>
      <c r="B181" s="6"/>
      <c r="C181" s="20"/>
      <c r="D181" s="5"/>
      <c r="E181" s="7" t="str">
        <f t="array" ref="E181">IFERROR(INDEX(Base_Estudiantes!$A$4:$A$505,MATCH(D181,Base_Estudiantes!$C$4:$C$505,0)),"")</f>
        <v/>
      </c>
      <c r="F181" s="7" t="str">
        <f t="array" ref="F181">IFERROR(INDEX(Base_Estudiantes!$B$4:$B$505,MATCH(D181,Base_Estudiantes!$C$4:$C$505,0)),"")</f>
        <v/>
      </c>
      <c r="G181" s="7" t="str">
        <f t="array" ref="G181">IFERROR(INDEX(Base_Estudiantes!$D$4:$D$505,MATCH(D181,Base_Estudiantes!$C$4:$C$505,0)),"")</f>
        <v/>
      </c>
      <c r="H181" s="7" t="str">
        <f t="array" ref="H181">IFERROR(INDEX(Base_Estudiantes!$F$4:$F$505,MATCH(D181,Base_Estudiantes!$C$4:$C$505,0)),"")</f>
        <v/>
      </c>
      <c r="I181" s="7" t="str">
        <f t="array" ref="I181">IFERROR(INDEX(Base_Estudiantes!$G$4:$G$505,MATCH(D181,Base_Estudiantes!$C$4:$C$505,0)),"")</f>
        <v/>
      </c>
      <c r="J181" s="7" t="str">
        <f t="array" ref="J181">IFERROR(INDEX(Base_Estudiantes!$H$4:$H$505,MATCH(D181,Base_Estudiantes!$C$4:$C$505,0)),"")</f>
        <v/>
      </c>
      <c r="K181" s="5"/>
      <c r="L181" s="5"/>
      <c r="M181" s="5"/>
      <c r="N181" s="5"/>
      <c r="O181" s="5"/>
      <c r="P181" s="5"/>
      <c r="Q181" s="5"/>
      <c r="R181" s="20"/>
      <c r="S181" s="5"/>
      <c r="T181" s="5"/>
    </row>
    <row r="182" spans="1:20" ht="15.75" customHeight="1">
      <c r="A182" s="19" t="str">
        <f t="shared" si="0"/>
        <v/>
      </c>
      <c r="B182" s="6"/>
      <c r="C182" s="20"/>
      <c r="D182" s="5"/>
      <c r="E182" s="7" t="str">
        <f t="array" ref="E182">IFERROR(INDEX(Base_Estudiantes!$A$4:$A$505,MATCH(D182,Base_Estudiantes!$C$4:$C$505,0)),"")</f>
        <v/>
      </c>
      <c r="F182" s="7" t="str">
        <f t="array" ref="F182">IFERROR(INDEX(Base_Estudiantes!$B$4:$B$505,MATCH(D182,Base_Estudiantes!$C$4:$C$505,0)),"")</f>
        <v/>
      </c>
      <c r="G182" s="7" t="str">
        <f t="array" ref="G182">IFERROR(INDEX(Base_Estudiantes!$D$4:$D$505,MATCH(D182,Base_Estudiantes!$C$4:$C$505,0)),"")</f>
        <v/>
      </c>
      <c r="H182" s="7" t="str">
        <f t="array" ref="H182">IFERROR(INDEX(Base_Estudiantes!$F$4:$F$505,MATCH(D182,Base_Estudiantes!$C$4:$C$505,0)),"")</f>
        <v/>
      </c>
      <c r="I182" s="7" t="str">
        <f t="array" ref="I182">IFERROR(INDEX(Base_Estudiantes!$G$4:$G$505,MATCH(D182,Base_Estudiantes!$C$4:$C$505,0)),"")</f>
        <v/>
      </c>
      <c r="J182" s="7" t="str">
        <f t="array" ref="J182">IFERROR(INDEX(Base_Estudiantes!$H$4:$H$505,MATCH(D182,Base_Estudiantes!$C$4:$C$505,0)),"")</f>
        <v/>
      </c>
      <c r="K182" s="5"/>
      <c r="L182" s="5"/>
      <c r="M182" s="5"/>
      <c r="N182" s="5"/>
      <c r="O182" s="5"/>
      <c r="P182" s="5"/>
      <c r="Q182" s="5"/>
      <c r="R182" s="20"/>
      <c r="S182" s="5"/>
      <c r="T182" s="5"/>
    </row>
    <row r="183" spans="1:20" ht="15.75" customHeight="1">
      <c r="A183" s="19" t="str">
        <f t="shared" si="0"/>
        <v/>
      </c>
      <c r="B183" s="6"/>
      <c r="C183" s="20"/>
      <c r="D183" s="5"/>
      <c r="E183" s="7" t="str">
        <f t="array" ref="E183">IFERROR(INDEX(Base_Estudiantes!$A$4:$A$505,MATCH(D183,Base_Estudiantes!$C$4:$C$505,0)),"")</f>
        <v/>
      </c>
      <c r="F183" s="7" t="str">
        <f t="array" ref="F183">IFERROR(INDEX(Base_Estudiantes!$B$4:$B$505,MATCH(D183,Base_Estudiantes!$C$4:$C$505,0)),"")</f>
        <v/>
      </c>
      <c r="G183" s="7" t="str">
        <f t="array" ref="G183">IFERROR(INDEX(Base_Estudiantes!$D$4:$D$505,MATCH(D183,Base_Estudiantes!$C$4:$C$505,0)),"")</f>
        <v/>
      </c>
      <c r="H183" s="7" t="str">
        <f t="array" ref="H183">IFERROR(INDEX(Base_Estudiantes!$F$4:$F$505,MATCH(D183,Base_Estudiantes!$C$4:$C$505,0)),"")</f>
        <v/>
      </c>
      <c r="I183" s="7" t="str">
        <f t="array" ref="I183">IFERROR(INDEX(Base_Estudiantes!$G$4:$G$505,MATCH(D183,Base_Estudiantes!$C$4:$C$505,0)),"")</f>
        <v/>
      </c>
      <c r="J183" s="7" t="str">
        <f t="array" ref="J183">IFERROR(INDEX(Base_Estudiantes!$H$4:$H$505,MATCH(D183,Base_Estudiantes!$C$4:$C$505,0)),"")</f>
        <v/>
      </c>
      <c r="K183" s="5"/>
      <c r="L183" s="5"/>
      <c r="M183" s="5"/>
      <c r="N183" s="5"/>
      <c r="O183" s="5"/>
      <c r="P183" s="5"/>
      <c r="Q183" s="5"/>
      <c r="R183" s="20"/>
      <c r="S183" s="5"/>
      <c r="T183" s="5"/>
    </row>
    <row r="184" spans="1:20" ht="15.75" customHeight="1">
      <c r="A184" s="19" t="str">
        <f t="shared" si="0"/>
        <v/>
      </c>
      <c r="B184" s="6"/>
      <c r="C184" s="20"/>
      <c r="D184" s="5"/>
      <c r="E184" s="7" t="str">
        <f t="array" ref="E184">IFERROR(INDEX(Base_Estudiantes!$A$4:$A$505,MATCH(D184,Base_Estudiantes!$C$4:$C$505,0)),"")</f>
        <v/>
      </c>
      <c r="F184" s="7" t="str">
        <f t="array" ref="F184">IFERROR(INDEX(Base_Estudiantes!$B$4:$B$505,MATCH(D184,Base_Estudiantes!$C$4:$C$505,0)),"")</f>
        <v/>
      </c>
      <c r="G184" s="7" t="str">
        <f t="array" ref="G184">IFERROR(INDEX(Base_Estudiantes!$D$4:$D$505,MATCH(D184,Base_Estudiantes!$C$4:$C$505,0)),"")</f>
        <v/>
      </c>
      <c r="H184" s="7" t="str">
        <f t="array" ref="H184">IFERROR(INDEX(Base_Estudiantes!$F$4:$F$505,MATCH(D184,Base_Estudiantes!$C$4:$C$505,0)),"")</f>
        <v/>
      </c>
      <c r="I184" s="7" t="str">
        <f t="array" ref="I184">IFERROR(INDEX(Base_Estudiantes!$G$4:$G$505,MATCH(D184,Base_Estudiantes!$C$4:$C$505,0)),"")</f>
        <v/>
      </c>
      <c r="J184" s="7" t="str">
        <f t="array" ref="J184">IFERROR(INDEX(Base_Estudiantes!$H$4:$H$505,MATCH(D184,Base_Estudiantes!$C$4:$C$505,0)),"")</f>
        <v/>
      </c>
      <c r="K184" s="5"/>
      <c r="L184" s="5"/>
      <c r="M184" s="5"/>
      <c r="N184" s="5"/>
      <c r="O184" s="5"/>
      <c r="P184" s="5"/>
      <c r="Q184" s="5"/>
      <c r="R184" s="20"/>
      <c r="S184" s="5"/>
      <c r="T184" s="5"/>
    </row>
    <row r="185" spans="1:20" ht="15.75" customHeight="1">
      <c r="A185" s="19" t="str">
        <f t="shared" si="0"/>
        <v/>
      </c>
      <c r="B185" s="6"/>
      <c r="C185" s="20"/>
      <c r="D185" s="5"/>
      <c r="E185" s="7" t="str">
        <f t="array" ref="E185">IFERROR(INDEX(Base_Estudiantes!$A$4:$A$505,MATCH(D185,Base_Estudiantes!$C$4:$C$505,0)),"")</f>
        <v/>
      </c>
      <c r="F185" s="7" t="str">
        <f t="array" ref="F185">IFERROR(INDEX(Base_Estudiantes!$B$4:$B$505,MATCH(D185,Base_Estudiantes!$C$4:$C$505,0)),"")</f>
        <v/>
      </c>
      <c r="G185" s="7" t="str">
        <f t="array" ref="G185">IFERROR(INDEX(Base_Estudiantes!$D$4:$D$505,MATCH(D185,Base_Estudiantes!$C$4:$C$505,0)),"")</f>
        <v/>
      </c>
      <c r="H185" s="7" t="str">
        <f t="array" ref="H185">IFERROR(INDEX(Base_Estudiantes!$F$4:$F$505,MATCH(D185,Base_Estudiantes!$C$4:$C$505,0)),"")</f>
        <v/>
      </c>
      <c r="I185" s="7" t="str">
        <f t="array" ref="I185">IFERROR(INDEX(Base_Estudiantes!$G$4:$G$505,MATCH(D185,Base_Estudiantes!$C$4:$C$505,0)),"")</f>
        <v/>
      </c>
      <c r="J185" s="7" t="str">
        <f t="array" ref="J185">IFERROR(INDEX(Base_Estudiantes!$H$4:$H$505,MATCH(D185,Base_Estudiantes!$C$4:$C$505,0)),"")</f>
        <v/>
      </c>
      <c r="K185" s="5"/>
      <c r="L185" s="5"/>
      <c r="M185" s="5"/>
      <c r="N185" s="5"/>
      <c r="O185" s="5"/>
      <c r="P185" s="5"/>
      <c r="Q185" s="5"/>
      <c r="R185" s="20"/>
      <c r="S185" s="5"/>
      <c r="T185" s="5"/>
    </row>
    <row r="186" spans="1:20" ht="15.75" customHeight="1">
      <c r="A186" s="19" t="str">
        <f t="shared" si="0"/>
        <v/>
      </c>
      <c r="B186" s="6"/>
      <c r="C186" s="20"/>
      <c r="D186" s="5"/>
      <c r="E186" s="7" t="str">
        <f t="array" ref="E186">IFERROR(INDEX(Base_Estudiantes!$A$4:$A$505,MATCH(D186,Base_Estudiantes!$C$4:$C$505,0)),"")</f>
        <v/>
      </c>
      <c r="F186" s="7" t="str">
        <f t="array" ref="F186">IFERROR(INDEX(Base_Estudiantes!$B$4:$B$505,MATCH(D186,Base_Estudiantes!$C$4:$C$505,0)),"")</f>
        <v/>
      </c>
      <c r="G186" s="7" t="str">
        <f t="array" ref="G186">IFERROR(INDEX(Base_Estudiantes!$D$4:$D$505,MATCH(D186,Base_Estudiantes!$C$4:$C$505,0)),"")</f>
        <v/>
      </c>
      <c r="H186" s="7" t="str">
        <f t="array" ref="H186">IFERROR(INDEX(Base_Estudiantes!$F$4:$F$505,MATCH(D186,Base_Estudiantes!$C$4:$C$505,0)),"")</f>
        <v/>
      </c>
      <c r="I186" s="7" t="str">
        <f t="array" ref="I186">IFERROR(INDEX(Base_Estudiantes!$G$4:$G$505,MATCH(D186,Base_Estudiantes!$C$4:$C$505,0)),"")</f>
        <v/>
      </c>
      <c r="J186" s="7" t="str">
        <f t="array" ref="J186">IFERROR(INDEX(Base_Estudiantes!$H$4:$H$505,MATCH(D186,Base_Estudiantes!$C$4:$C$505,0)),"")</f>
        <v/>
      </c>
      <c r="K186" s="5"/>
      <c r="L186" s="5"/>
      <c r="M186" s="5"/>
      <c r="N186" s="5"/>
      <c r="O186" s="5"/>
      <c r="P186" s="5"/>
      <c r="Q186" s="5"/>
      <c r="R186" s="20"/>
      <c r="S186" s="5"/>
      <c r="T186" s="5"/>
    </row>
    <row r="187" spans="1:20" ht="15.75" customHeight="1">
      <c r="A187" s="19" t="str">
        <f t="shared" si="0"/>
        <v/>
      </c>
      <c r="B187" s="6"/>
      <c r="C187" s="20"/>
      <c r="D187" s="5"/>
      <c r="E187" s="7" t="str">
        <f t="array" ref="E187">IFERROR(INDEX(Base_Estudiantes!$A$4:$A$505,MATCH(D187,Base_Estudiantes!$C$4:$C$505,0)),"")</f>
        <v/>
      </c>
      <c r="F187" s="7" t="str">
        <f t="array" ref="F187">IFERROR(INDEX(Base_Estudiantes!$B$4:$B$505,MATCH(D187,Base_Estudiantes!$C$4:$C$505,0)),"")</f>
        <v/>
      </c>
      <c r="G187" s="7" t="str">
        <f t="array" ref="G187">IFERROR(INDEX(Base_Estudiantes!$D$4:$D$505,MATCH(D187,Base_Estudiantes!$C$4:$C$505,0)),"")</f>
        <v/>
      </c>
      <c r="H187" s="7" t="str">
        <f t="array" ref="H187">IFERROR(INDEX(Base_Estudiantes!$F$4:$F$505,MATCH(D187,Base_Estudiantes!$C$4:$C$505,0)),"")</f>
        <v/>
      </c>
      <c r="I187" s="7" t="str">
        <f t="array" ref="I187">IFERROR(INDEX(Base_Estudiantes!$G$4:$G$505,MATCH(D187,Base_Estudiantes!$C$4:$C$505,0)),"")</f>
        <v/>
      </c>
      <c r="J187" s="7" t="str">
        <f t="array" ref="J187">IFERROR(INDEX(Base_Estudiantes!$H$4:$H$505,MATCH(D187,Base_Estudiantes!$C$4:$C$505,0)),"")</f>
        <v/>
      </c>
      <c r="K187" s="5"/>
      <c r="L187" s="5"/>
      <c r="M187" s="5"/>
      <c r="N187" s="5"/>
      <c r="O187" s="5"/>
      <c r="P187" s="5"/>
      <c r="Q187" s="5"/>
      <c r="R187" s="20"/>
      <c r="S187" s="5"/>
      <c r="T187" s="5"/>
    </row>
    <row r="188" spans="1:20" ht="15.75" customHeight="1">
      <c r="A188" s="19" t="str">
        <f t="shared" si="0"/>
        <v/>
      </c>
      <c r="B188" s="6"/>
      <c r="C188" s="20"/>
      <c r="D188" s="5"/>
      <c r="E188" s="7" t="str">
        <f t="array" ref="E188">IFERROR(INDEX(Base_Estudiantes!$A$4:$A$505,MATCH(D188,Base_Estudiantes!$C$4:$C$505,0)),"")</f>
        <v/>
      </c>
      <c r="F188" s="7" t="str">
        <f t="array" ref="F188">IFERROR(INDEX(Base_Estudiantes!$B$4:$B$505,MATCH(D188,Base_Estudiantes!$C$4:$C$505,0)),"")</f>
        <v/>
      </c>
      <c r="G188" s="7" t="str">
        <f t="array" ref="G188">IFERROR(INDEX(Base_Estudiantes!$D$4:$D$505,MATCH(D188,Base_Estudiantes!$C$4:$C$505,0)),"")</f>
        <v/>
      </c>
      <c r="H188" s="7" t="str">
        <f t="array" ref="H188">IFERROR(INDEX(Base_Estudiantes!$F$4:$F$505,MATCH(D188,Base_Estudiantes!$C$4:$C$505,0)),"")</f>
        <v/>
      </c>
      <c r="I188" s="7" t="str">
        <f t="array" ref="I188">IFERROR(INDEX(Base_Estudiantes!$G$4:$G$505,MATCH(D188,Base_Estudiantes!$C$4:$C$505,0)),"")</f>
        <v/>
      </c>
      <c r="J188" s="7" t="str">
        <f t="array" ref="J188">IFERROR(INDEX(Base_Estudiantes!$H$4:$H$505,MATCH(D188,Base_Estudiantes!$C$4:$C$505,0)),"")</f>
        <v/>
      </c>
      <c r="K188" s="5"/>
      <c r="L188" s="5"/>
      <c r="M188" s="5"/>
      <c r="N188" s="5"/>
      <c r="O188" s="5"/>
      <c r="P188" s="5"/>
      <c r="Q188" s="5"/>
      <c r="R188" s="20"/>
      <c r="S188" s="5"/>
      <c r="T188" s="5"/>
    </row>
    <row r="189" spans="1:20" ht="15.75" customHeight="1">
      <c r="A189" s="19" t="str">
        <f t="shared" si="0"/>
        <v/>
      </c>
      <c r="B189" s="6"/>
      <c r="C189" s="20"/>
      <c r="D189" s="5"/>
      <c r="E189" s="7" t="str">
        <f t="array" ref="E189">IFERROR(INDEX(Base_Estudiantes!$A$4:$A$505,MATCH(D189,Base_Estudiantes!$C$4:$C$505,0)),"")</f>
        <v/>
      </c>
      <c r="F189" s="7" t="str">
        <f t="array" ref="F189">IFERROR(INDEX(Base_Estudiantes!$B$4:$B$505,MATCH(D189,Base_Estudiantes!$C$4:$C$505,0)),"")</f>
        <v/>
      </c>
      <c r="G189" s="7" t="str">
        <f t="array" ref="G189">IFERROR(INDEX(Base_Estudiantes!$D$4:$D$505,MATCH(D189,Base_Estudiantes!$C$4:$C$505,0)),"")</f>
        <v/>
      </c>
      <c r="H189" s="7" t="str">
        <f t="array" ref="H189">IFERROR(INDEX(Base_Estudiantes!$F$4:$F$505,MATCH(D189,Base_Estudiantes!$C$4:$C$505,0)),"")</f>
        <v/>
      </c>
      <c r="I189" s="7" t="str">
        <f t="array" ref="I189">IFERROR(INDEX(Base_Estudiantes!$G$4:$G$505,MATCH(D189,Base_Estudiantes!$C$4:$C$505,0)),"")</f>
        <v/>
      </c>
      <c r="J189" s="7" t="str">
        <f t="array" ref="J189">IFERROR(INDEX(Base_Estudiantes!$H$4:$H$505,MATCH(D189,Base_Estudiantes!$C$4:$C$505,0)),"")</f>
        <v/>
      </c>
      <c r="K189" s="5"/>
      <c r="L189" s="5"/>
      <c r="M189" s="5"/>
      <c r="N189" s="5"/>
      <c r="O189" s="5"/>
      <c r="P189" s="5"/>
      <c r="Q189" s="5"/>
      <c r="R189" s="20"/>
      <c r="S189" s="5"/>
      <c r="T189" s="5"/>
    </row>
    <row r="190" spans="1:20" ht="15.75" customHeight="1">
      <c r="A190" s="19" t="str">
        <f t="shared" si="0"/>
        <v/>
      </c>
      <c r="B190" s="6"/>
      <c r="C190" s="20"/>
      <c r="D190" s="5"/>
      <c r="E190" s="7" t="str">
        <f t="array" ref="E190">IFERROR(INDEX(Base_Estudiantes!$A$4:$A$505,MATCH(D190,Base_Estudiantes!$C$4:$C$505,0)),"")</f>
        <v/>
      </c>
      <c r="F190" s="7" t="str">
        <f t="array" ref="F190">IFERROR(INDEX(Base_Estudiantes!$B$4:$B$505,MATCH(D190,Base_Estudiantes!$C$4:$C$505,0)),"")</f>
        <v/>
      </c>
      <c r="G190" s="7" t="str">
        <f t="array" ref="G190">IFERROR(INDEX(Base_Estudiantes!$D$4:$D$505,MATCH(D190,Base_Estudiantes!$C$4:$C$505,0)),"")</f>
        <v/>
      </c>
      <c r="H190" s="7" t="str">
        <f t="array" ref="H190">IFERROR(INDEX(Base_Estudiantes!$F$4:$F$505,MATCH(D190,Base_Estudiantes!$C$4:$C$505,0)),"")</f>
        <v/>
      </c>
      <c r="I190" s="7" t="str">
        <f t="array" ref="I190">IFERROR(INDEX(Base_Estudiantes!$G$4:$G$505,MATCH(D190,Base_Estudiantes!$C$4:$C$505,0)),"")</f>
        <v/>
      </c>
      <c r="J190" s="7" t="str">
        <f t="array" ref="J190">IFERROR(INDEX(Base_Estudiantes!$H$4:$H$505,MATCH(D190,Base_Estudiantes!$C$4:$C$505,0)),"")</f>
        <v/>
      </c>
      <c r="K190" s="5"/>
      <c r="L190" s="5"/>
      <c r="M190" s="5"/>
      <c r="N190" s="5"/>
      <c r="O190" s="5"/>
      <c r="P190" s="5"/>
      <c r="Q190" s="5"/>
      <c r="R190" s="20"/>
      <c r="S190" s="5"/>
      <c r="T190" s="5"/>
    </row>
    <row r="191" spans="1:20" ht="15.75" customHeight="1">
      <c r="A191" s="19" t="str">
        <f t="shared" si="0"/>
        <v/>
      </c>
      <c r="B191" s="6"/>
      <c r="C191" s="20"/>
      <c r="D191" s="5"/>
      <c r="E191" s="7" t="str">
        <f t="array" ref="E191">IFERROR(INDEX(Base_Estudiantes!$A$4:$A$505,MATCH(D191,Base_Estudiantes!$C$4:$C$505,0)),"")</f>
        <v/>
      </c>
      <c r="F191" s="7" t="str">
        <f t="array" ref="F191">IFERROR(INDEX(Base_Estudiantes!$B$4:$B$505,MATCH(D191,Base_Estudiantes!$C$4:$C$505,0)),"")</f>
        <v/>
      </c>
      <c r="G191" s="7" t="str">
        <f t="array" ref="G191">IFERROR(INDEX(Base_Estudiantes!$D$4:$D$505,MATCH(D191,Base_Estudiantes!$C$4:$C$505,0)),"")</f>
        <v/>
      </c>
      <c r="H191" s="7" t="str">
        <f t="array" ref="H191">IFERROR(INDEX(Base_Estudiantes!$F$4:$F$505,MATCH(D191,Base_Estudiantes!$C$4:$C$505,0)),"")</f>
        <v/>
      </c>
      <c r="I191" s="7" t="str">
        <f t="array" ref="I191">IFERROR(INDEX(Base_Estudiantes!$G$4:$G$505,MATCH(D191,Base_Estudiantes!$C$4:$C$505,0)),"")</f>
        <v/>
      </c>
      <c r="J191" s="7" t="str">
        <f t="array" ref="J191">IFERROR(INDEX(Base_Estudiantes!$H$4:$H$505,MATCH(D191,Base_Estudiantes!$C$4:$C$505,0)),"")</f>
        <v/>
      </c>
      <c r="K191" s="5"/>
      <c r="L191" s="5"/>
      <c r="M191" s="5"/>
      <c r="N191" s="5"/>
      <c r="O191" s="5"/>
      <c r="P191" s="5"/>
      <c r="Q191" s="5"/>
      <c r="R191" s="20"/>
      <c r="S191" s="5"/>
      <c r="T191" s="5"/>
    </row>
    <row r="192" spans="1:20" ht="15.75" customHeight="1">
      <c r="A192" s="19" t="str">
        <f t="shared" si="0"/>
        <v/>
      </c>
      <c r="B192" s="6"/>
      <c r="C192" s="20"/>
      <c r="D192" s="5"/>
      <c r="E192" s="7" t="str">
        <f t="array" ref="E192">IFERROR(INDEX(Base_Estudiantes!$A$4:$A$505,MATCH(D192,Base_Estudiantes!$C$4:$C$505,0)),"")</f>
        <v/>
      </c>
      <c r="F192" s="7" t="str">
        <f t="array" ref="F192">IFERROR(INDEX(Base_Estudiantes!$B$4:$B$505,MATCH(D192,Base_Estudiantes!$C$4:$C$505,0)),"")</f>
        <v/>
      </c>
      <c r="G192" s="7" t="str">
        <f t="array" ref="G192">IFERROR(INDEX(Base_Estudiantes!$D$4:$D$505,MATCH(D192,Base_Estudiantes!$C$4:$C$505,0)),"")</f>
        <v/>
      </c>
      <c r="H192" s="7" t="str">
        <f t="array" ref="H192">IFERROR(INDEX(Base_Estudiantes!$F$4:$F$505,MATCH(D192,Base_Estudiantes!$C$4:$C$505,0)),"")</f>
        <v/>
      </c>
      <c r="I192" s="7" t="str">
        <f t="array" ref="I192">IFERROR(INDEX(Base_Estudiantes!$G$4:$G$505,MATCH(D192,Base_Estudiantes!$C$4:$C$505,0)),"")</f>
        <v/>
      </c>
      <c r="J192" s="7" t="str">
        <f t="array" ref="J192">IFERROR(INDEX(Base_Estudiantes!$H$4:$H$505,MATCH(D192,Base_Estudiantes!$C$4:$C$505,0)),"")</f>
        <v/>
      </c>
      <c r="K192" s="5"/>
      <c r="L192" s="5"/>
      <c r="M192" s="5"/>
      <c r="N192" s="5"/>
      <c r="O192" s="5"/>
      <c r="P192" s="5"/>
      <c r="Q192" s="5"/>
      <c r="R192" s="20"/>
      <c r="S192" s="5"/>
      <c r="T192" s="5"/>
    </row>
    <row r="193" spans="1:20" ht="15.75" customHeight="1">
      <c r="A193" s="19" t="str">
        <f t="shared" si="0"/>
        <v/>
      </c>
      <c r="B193" s="6"/>
      <c r="C193" s="20"/>
      <c r="D193" s="5"/>
      <c r="E193" s="7" t="str">
        <f t="array" ref="E193">IFERROR(INDEX(Base_Estudiantes!$A$4:$A$505,MATCH(D193,Base_Estudiantes!$C$4:$C$505,0)),"")</f>
        <v/>
      </c>
      <c r="F193" s="7" t="str">
        <f t="array" ref="F193">IFERROR(INDEX(Base_Estudiantes!$B$4:$B$505,MATCH(D193,Base_Estudiantes!$C$4:$C$505,0)),"")</f>
        <v/>
      </c>
      <c r="G193" s="7" t="str">
        <f t="array" ref="G193">IFERROR(INDEX(Base_Estudiantes!$D$4:$D$505,MATCH(D193,Base_Estudiantes!$C$4:$C$505,0)),"")</f>
        <v/>
      </c>
      <c r="H193" s="7" t="str">
        <f t="array" ref="H193">IFERROR(INDEX(Base_Estudiantes!$F$4:$F$505,MATCH(D193,Base_Estudiantes!$C$4:$C$505,0)),"")</f>
        <v/>
      </c>
      <c r="I193" s="7" t="str">
        <f t="array" ref="I193">IFERROR(INDEX(Base_Estudiantes!$G$4:$G$505,MATCH(D193,Base_Estudiantes!$C$4:$C$505,0)),"")</f>
        <v/>
      </c>
      <c r="J193" s="7" t="str">
        <f t="array" ref="J193">IFERROR(INDEX(Base_Estudiantes!$H$4:$H$505,MATCH(D193,Base_Estudiantes!$C$4:$C$505,0)),"")</f>
        <v/>
      </c>
      <c r="K193" s="5"/>
      <c r="L193" s="5"/>
      <c r="M193" s="5"/>
      <c r="N193" s="5"/>
      <c r="O193" s="5"/>
      <c r="P193" s="5"/>
      <c r="Q193" s="5"/>
      <c r="R193" s="20"/>
      <c r="S193" s="5"/>
      <c r="T193" s="5"/>
    </row>
    <row r="194" spans="1:20" ht="15.75" customHeight="1">
      <c r="A194" s="19" t="str">
        <f t="shared" si="0"/>
        <v/>
      </c>
      <c r="B194" s="6"/>
      <c r="C194" s="20"/>
      <c r="D194" s="5"/>
      <c r="E194" s="7" t="str">
        <f t="array" ref="E194">IFERROR(INDEX(Base_Estudiantes!$A$4:$A$505,MATCH(D194,Base_Estudiantes!$C$4:$C$505,0)),"")</f>
        <v/>
      </c>
      <c r="F194" s="7" t="str">
        <f t="array" ref="F194">IFERROR(INDEX(Base_Estudiantes!$B$4:$B$505,MATCH(D194,Base_Estudiantes!$C$4:$C$505,0)),"")</f>
        <v/>
      </c>
      <c r="G194" s="7" t="str">
        <f t="array" ref="G194">IFERROR(INDEX(Base_Estudiantes!$D$4:$D$505,MATCH(D194,Base_Estudiantes!$C$4:$C$505,0)),"")</f>
        <v/>
      </c>
      <c r="H194" s="7" t="str">
        <f t="array" ref="H194">IFERROR(INDEX(Base_Estudiantes!$F$4:$F$505,MATCH(D194,Base_Estudiantes!$C$4:$C$505,0)),"")</f>
        <v/>
      </c>
      <c r="I194" s="7" t="str">
        <f t="array" ref="I194">IFERROR(INDEX(Base_Estudiantes!$G$4:$G$505,MATCH(D194,Base_Estudiantes!$C$4:$C$505,0)),"")</f>
        <v/>
      </c>
      <c r="J194" s="7" t="str">
        <f t="array" ref="J194">IFERROR(INDEX(Base_Estudiantes!$H$4:$H$505,MATCH(D194,Base_Estudiantes!$C$4:$C$505,0)),"")</f>
        <v/>
      </c>
      <c r="K194" s="5"/>
      <c r="L194" s="5"/>
      <c r="M194" s="5"/>
      <c r="N194" s="5"/>
      <c r="O194" s="5"/>
      <c r="P194" s="5"/>
      <c r="Q194" s="5"/>
      <c r="R194" s="20"/>
      <c r="S194" s="5"/>
      <c r="T194" s="5"/>
    </row>
    <row r="195" spans="1:20" ht="15.75" customHeight="1">
      <c r="A195" s="19" t="str">
        <f t="shared" si="0"/>
        <v/>
      </c>
      <c r="B195" s="6"/>
      <c r="C195" s="20"/>
      <c r="D195" s="5"/>
      <c r="E195" s="7" t="str">
        <f t="array" ref="E195">IFERROR(INDEX(Base_Estudiantes!$A$4:$A$505,MATCH(D195,Base_Estudiantes!$C$4:$C$505,0)),"")</f>
        <v/>
      </c>
      <c r="F195" s="7" t="str">
        <f t="array" ref="F195">IFERROR(INDEX(Base_Estudiantes!$B$4:$B$505,MATCH(D195,Base_Estudiantes!$C$4:$C$505,0)),"")</f>
        <v/>
      </c>
      <c r="G195" s="7" t="str">
        <f t="array" ref="G195">IFERROR(INDEX(Base_Estudiantes!$D$4:$D$505,MATCH(D195,Base_Estudiantes!$C$4:$C$505,0)),"")</f>
        <v/>
      </c>
      <c r="H195" s="7" t="str">
        <f t="array" ref="H195">IFERROR(INDEX(Base_Estudiantes!$F$4:$F$505,MATCH(D195,Base_Estudiantes!$C$4:$C$505,0)),"")</f>
        <v/>
      </c>
      <c r="I195" s="7" t="str">
        <f t="array" ref="I195">IFERROR(INDEX(Base_Estudiantes!$G$4:$G$505,MATCH(D195,Base_Estudiantes!$C$4:$C$505,0)),"")</f>
        <v/>
      </c>
      <c r="J195" s="7" t="str">
        <f t="array" ref="J195">IFERROR(INDEX(Base_Estudiantes!$H$4:$H$505,MATCH(D195,Base_Estudiantes!$C$4:$C$505,0)),"")</f>
        <v/>
      </c>
      <c r="K195" s="5"/>
      <c r="L195" s="5"/>
      <c r="M195" s="5"/>
      <c r="N195" s="5"/>
      <c r="O195" s="5"/>
      <c r="P195" s="5"/>
      <c r="Q195" s="5"/>
      <c r="R195" s="20"/>
      <c r="S195" s="5"/>
      <c r="T195" s="5"/>
    </row>
    <row r="196" spans="1:20" ht="15.75" customHeight="1">
      <c r="A196" s="19" t="str">
        <f t="shared" si="0"/>
        <v/>
      </c>
      <c r="B196" s="6"/>
      <c r="C196" s="20"/>
      <c r="D196" s="5"/>
      <c r="E196" s="7" t="str">
        <f t="array" ref="E196">IFERROR(INDEX(Base_Estudiantes!$A$4:$A$505,MATCH(D196,Base_Estudiantes!$C$4:$C$505,0)),"")</f>
        <v/>
      </c>
      <c r="F196" s="7" t="str">
        <f t="array" ref="F196">IFERROR(INDEX(Base_Estudiantes!$B$4:$B$505,MATCH(D196,Base_Estudiantes!$C$4:$C$505,0)),"")</f>
        <v/>
      </c>
      <c r="G196" s="7" t="str">
        <f t="array" ref="G196">IFERROR(INDEX(Base_Estudiantes!$D$4:$D$505,MATCH(D196,Base_Estudiantes!$C$4:$C$505,0)),"")</f>
        <v/>
      </c>
      <c r="H196" s="7" t="str">
        <f t="array" ref="H196">IFERROR(INDEX(Base_Estudiantes!$F$4:$F$505,MATCH(D196,Base_Estudiantes!$C$4:$C$505,0)),"")</f>
        <v/>
      </c>
      <c r="I196" s="7" t="str">
        <f t="array" ref="I196">IFERROR(INDEX(Base_Estudiantes!$G$4:$G$505,MATCH(D196,Base_Estudiantes!$C$4:$C$505,0)),"")</f>
        <v/>
      </c>
      <c r="J196" s="7" t="str">
        <f t="array" ref="J196">IFERROR(INDEX(Base_Estudiantes!$H$4:$H$505,MATCH(D196,Base_Estudiantes!$C$4:$C$505,0)),"")</f>
        <v/>
      </c>
      <c r="K196" s="5"/>
      <c r="L196" s="5"/>
      <c r="M196" s="5"/>
      <c r="N196" s="5"/>
      <c r="O196" s="5"/>
      <c r="P196" s="5"/>
      <c r="Q196" s="5"/>
      <c r="R196" s="20"/>
      <c r="S196" s="5"/>
      <c r="T196" s="5"/>
    </row>
    <row r="197" spans="1:20" ht="15.75" customHeight="1">
      <c r="A197" s="19" t="str">
        <f t="shared" si="0"/>
        <v/>
      </c>
      <c r="B197" s="6"/>
      <c r="C197" s="20"/>
      <c r="D197" s="5"/>
      <c r="E197" s="7" t="str">
        <f t="array" ref="E197">IFERROR(INDEX(Base_Estudiantes!$A$4:$A$505,MATCH(D197,Base_Estudiantes!$C$4:$C$505,0)),"")</f>
        <v/>
      </c>
      <c r="F197" s="7" t="str">
        <f t="array" ref="F197">IFERROR(INDEX(Base_Estudiantes!$B$4:$B$505,MATCH(D197,Base_Estudiantes!$C$4:$C$505,0)),"")</f>
        <v/>
      </c>
      <c r="G197" s="7" t="str">
        <f t="array" ref="G197">IFERROR(INDEX(Base_Estudiantes!$D$4:$D$505,MATCH(D197,Base_Estudiantes!$C$4:$C$505,0)),"")</f>
        <v/>
      </c>
      <c r="H197" s="7" t="str">
        <f t="array" ref="H197">IFERROR(INDEX(Base_Estudiantes!$F$4:$F$505,MATCH(D197,Base_Estudiantes!$C$4:$C$505,0)),"")</f>
        <v/>
      </c>
      <c r="I197" s="7" t="str">
        <f t="array" ref="I197">IFERROR(INDEX(Base_Estudiantes!$G$4:$G$505,MATCH(D197,Base_Estudiantes!$C$4:$C$505,0)),"")</f>
        <v/>
      </c>
      <c r="J197" s="7" t="str">
        <f t="array" ref="J197">IFERROR(INDEX(Base_Estudiantes!$H$4:$H$505,MATCH(D197,Base_Estudiantes!$C$4:$C$505,0)),"")</f>
        <v/>
      </c>
      <c r="K197" s="5"/>
      <c r="L197" s="5"/>
      <c r="M197" s="5"/>
      <c r="N197" s="5"/>
      <c r="O197" s="5"/>
      <c r="P197" s="5"/>
      <c r="Q197" s="5"/>
      <c r="R197" s="20"/>
      <c r="S197" s="5"/>
      <c r="T197" s="5"/>
    </row>
    <row r="198" spans="1:20" ht="15.75" customHeight="1">
      <c r="A198" s="19" t="str">
        <f t="shared" si="0"/>
        <v/>
      </c>
      <c r="B198" s="6"/>
      <c r="C198" s="20"/>
      <c r="D198" s="5"/>
      <c r="E198" s="7" t="str">
        <f t="array" ref="E198">IFERROR(INDEX(Base_Estudiantes!$A$4:$A$505,MATCH(D198,Base_Estudiantes!$C$4:$C$505,0)),"")</f>
        <v/>
      </c>
      <c r="F198" s="7" t="str">
        <f t="array" ref="F198">IFERROR(INDEX(Base_Estudiantes!$B$4:$B$505,MATCH(D198,Base_Estudiantes!$C$4:$C$505,0)),"")</f>
        <v/>
      </c>
      <c r="G198" s="7" t="str">
        <f t="array" ref="G198">IFERROR(INDEX(Base_Estudiantes!$D$4:$D$505,MATCH(D198,Base_Estudiantes!$C$4:$C$505,0)),"")</f>
        <v/>
      </c>
      <c r="H198" s="7" t="str">
        <f t="array" ref="H198">IFERROR(INDEX(Base_Estudiantes!$F$4:$F$505,MATCH(D198,Base_Estudiantes!$C$4:$C$505,0)),"")</f>
        <v/>
      </c>
      <c r="I198" s="7" t="str">
        <f t="array" ref="I198">IFERROR(INDEX(Base_Estudiantes!$G$4:$G$505,MATCH(D198,Base_Estudiantes!$C$4:$C$505,0)),"")</f>
        <v/>
      </c>
      <c r="J198" s="7" t="str">
        <f t="array" ref="J198">IFERROR(INDEX(Base_Estudiantes!$H$4:$H$505,MATCH(D198,Base_Estudiantes!$C$4:$C$505,0)),"")</f>
        <v/>
      </c>
      <c r="K198" s="5"/>
      <c r="L198" s="5"/>
      <c r="M198" s="5"/>
      <c r="N198" s="5"/>
      <c r="O198" s="5"/>
      <c r="P198" s="5"/>
      <c r="Q198" s="5"/>
      <c r="R198" s="20"/>
      <c r="S198" s="5"/>
      <c r="T198" s="5"/>
    </row>
    <row r="199" spans="1:20" ht="15.75" customHeight="1">
      <c r="A199" s="19" t="str">
        <f t="shared" si="0"/>
        <v/>
      </c>
      <c r="B199" s="6"/>
      <c r="C199" s="20"/>
      <c r="D199" s="5"/>
      <c r="E199" s="7" t="str">
        <f t="array" ref="E199">IFERROR(INDEX(Base_Estudiantes!$A$4:$A$505,MATCH(D199,Base_Estudiantes!$C$4:$C$505,0)),"")</f>
        <v/>
      </c>
      <c r="F199" s="7" t="str">
        <f t="array" ref="F199">IFERROR(INDEX(Base_Estudiantes!$B$4:$B$505,MATCH(D199,Base_Estudiantes!$C$4:$C$505,0)),"")</f>
        <v/>
      </c>
      <c r="G199" s="7" t="str">
        <f t="array" ref="G199">IFERROR(INDEX(Base_Estudiantes!$D$4:$D$505,MATCH(D199,Base_Estudiantes!$C$4:$C$505,0)),"")</f>
        <v/>
      </c>
      <c r="H199" s="7" t="str">
        <f t="array" ref="H199">IFERROR(INDEX(Base_Estudiantes!$F$4:$F$505,MATCH(D199,Base_Estudiantes!$C$4:$C$505,0)),"")</f>
        <v/>
      </c>
      <c r="I199" s="7" t="str">
        <f t="array" ref="I199">IFERROR(INDEX(Base_Estudiantes!$G$4:$G$505,MATCH(D199,Base_Estudiantes!$C$4:$C$505,0)),"")</f>
        <v/>
      </c>
      <c r="J199" s="7" t="str">
        <f t="array" ref="J199">IFERROR(INDEX(Base_Estudiantes!$H$4:$H$505,MATCH(D199,Base_Estudiantes!$C$4:$C$505,0)),"")</f>
        <v/>
      </c>
      <c r="K199" s="5"/>
      <c r="L199" s="5"/>
      <c r="M199" s="5"/>
      <c r="N199" s="5"/>
      <c r="O199" s="5"/>
      <c r="P199" s="5"/>
      <c r="Q199" s="5"/>
      <c r="R199" s="20"/>
      <c r="S199" s="5"/>
      <c r="T199" s="5"/>
    </row>
    <row r="200" spans="1:20" ht="15.75" customHeight="1">
      <c r="A200" s="19" t="str">
        <f t="shared" si="0"/>
        <v/>
      </c>
      <c r="B200" s="6"/>
      <c r="C200" s="20"/>
      <c r="D200" s="5"/>
      <c r="E200" s="7" t="str">
        <f t="array" ref="E200">IFERROR(INDEX(Base_Estudiantes!$A$4:$A$505,MATCH(D200,Base_Estudiantes!$C$4:$C$505,0)),"")</f>
        <v/>
      </c>
      <c r="F200" s="7" t="str">
        <f t="array" ref="F200">IFERROR(INDEX(Base_Estudiantes!$B$4:$B$505,MATCH(D200,Base_Estudiantes!$C$4:$C$505,0)),"")</f>
        <v/>
      </c>
      <c r="G200" s="7" t="str">
        <f t="array" ref="G200">IFERROR(INDEX(Base_Estudiantes!$D$4:$D$505,MATCH(D200,Base_Estudiantes!$C$4:$C$505,0)),"")</f>
        <v/>
      </c>
      <c r="H200" s="7" t="str">
        <f t="array" ref="H200">IFERROR(INDEX(Base_Estudiantes!$F$4:$F$505,MATCH(D200,Base_Estudiantes!$C$4:$C$505,0)),"")</f>
        <v/>
      </c>
      <c r="I200" s="7" t="str">
        <f t="array" ref="I200">IFERROR(INDEX(Base_Estudiantes!$G$4:$G$505,MATCH(D200,Base_Estudiantes!$C$4:$C$505,0)),"")</f>
        <v/>
      </c>
      <c r="J200" s="7" t="str">
        <f t="array" ref="J200">IFERROR(INDEX(Base_Estudiantes!$H$4:$H$505,MATCH(D200,Base_Estudiantes!$C$4:$C$505,0)),"")</f>
        <v/>
      </c>
      <c r="K200" s="5"/>
      <c r="L200" s="5"/>
      <c r="M200" s="5"/>
      <c r="N200" s="5"/>
      <c r="O200" s="5"/>
      <c r="P200" s="5"/>
      <c r="Q200" s="5"/>
      <c r="R200" s="20"/>
      <c r="S200" s="5"/>
      <c r="T200" s="5"/>
    </row>
    <row r="201" spans="1:20" ht="15.75" customHeight="1">
      <c r="A201" s="19" t="str">
        <f t="shared" si="0"/>
        <v/>
      </c>
      <c r="B201" s="6"/>
      <c r="C201" s="20"/>
      <c r="D201" s="5"/>
      <c r="E201" s="7" t="str">
        <f t="array" ref="E201">IFERROR(INDEX(Base_Estudiantes!$A$4:$A$505,MATCH(D201,Base_Estudiantes!$C$4:$C$505,0)),"")</f>
        <v/>
      </c>
      <c r="F201" s="7" t="str">
        <f t="array" ref="F201">IFERROR(INDEX(Base_Estudiantes!$B$4:$B$505,MATCH(D201,Base_Estudiantes!$C$4:$C$505,0)),"")</f>
        <v/>
      </c>
      <c r="G201" s="7" t="str">
        <f t="array" ref="G201">IFERROR(INDEX(Base_Estudiantes!$D$4:$D$505,MATCH(D201,Base_Estudiantes!$C$4:$C$505,0)),"")</f>
        <v/>
      </c>
      <c r="H201" s="7" t="str">
        <f t="array" ref="H201">IFERROR(INDEX(Base_Estudiantes!$F$4:$F$505,MATCH(D201,Base_Estudiantes!$C$4:$C$505,0)),"")</f>
        <v/>
      </c>
      <c r="I201" s="7" t="str">
        <f t="array" ref="I201">IFERROR(INDEX(Base_Estudiantes!$G$4:$G$505,MATCH(D201,Base_Estudiantes!$C$4:$C$505,0)),"")</f>
        <v/>
      </c>
      <c r="J201" s="7" t="str">
        <f t="array" ref="J201">IFERROR(INDEX(Base_Estudiantes!$H$4:$H$505,MATCH(D201,Base_Estudiantes!$C$4:$C$505,0)),"")</f>
        <v/>
      </c>
      <c r="K201" s="5"/>
      <c r="L201" s="5"/>
      <c r="M201" s="5"/>
      <c r="N201" s="5"/>
      <c r="O201" s="5"/>
      <c r="P201" s="5"/>
      <c r="Q201" s="5"/>
      <c r="R201" s="20"/>
      <c r="S201" s="5"/>
      <c r="T201" s="5"/>
    </row>
    <row r="202" spans="1:20" ht="15.75" customHeight="1">
      <c r="A202" s="19" t="str">
        <f t="shared" si="0"/>
        <v/>
      </c>
      <c r="B202" s="6"/>
      <c r="C202" s="20"/>
      <c r="D202" s="5"/>
      <c r="E202" s="7" t="str">
        <f t="array" ref="E202">IFERROR(INDEX(Base_Estudiantes!$A$4:$A$505,MATCH(D202,Base_Estudiantes!$C$4:$C$505,0)),"")</f>
        <v/>
      </c>
      <c r="F202" s="7" t="str">
        <f t="array" ref="F202">IFERROR(INDEX(Base_Estudiantes!$B$4:$B$505,MATCH(D202,Base_Estudiantes!$C$4:$C$505,0)),"")</f>
        <v/>
      </c>
      <c r="G202" s="7" t="str">
        <f t="array" ref="G202">IFERROR(INDEX(Base_Estudiantes!$D$4:$D$505,MATCH(D202,Base_Estudiantes!$C$4:$C$505,0)),"")</f>
        <v/>
      </c>
      <c r="H202" s="7" t="str">
        <f t="array" ref="H202">IFERROR(INDEX(Base_Estudiantes!$F$4:$F$505,MATCH(D202,Base_Estudiantes!$C$4:$C$505,0)),"")</f>
        <v/>
      </c>
      <c r="I202" s="7" t="str">
        <f t="array" ref="I202">IFERROR(INDEX(Base_Estudiantes!$G$4:$G$505,MATCH(D202,Base_Estudiantes!$C$4:$C$505,0)),"")</f>
        <v/>
      </c>
      <c r="J202" s="7" t="str">
        <f t="array" ref="J202">IFERROR(INDEX(Base_Estudiantes!$H$4:$H$505,MATCH(D202,Base_Estudiantes!$C$4:$C$505,0)),"")</f>
        <v/>
      </c>
      <c r="K202" s="5"/>
      <c r="L202" s="5"/>
      <c r="M202" s="5"/>
      <c r="N202" s="5"/>
      <c r="O202" s="5"/>
      <c r="P202" s="5"/>
      <c r="Q202" s="5"/>
      <c r="R202" s="20"/>
      <c r="S202" s="5"/>
      <c r="T202" s="5"/>
    </row>
    <row r="203" spans="1:20" ht="15.75" customHeight="1">
      <c r="A203" s="19" t="str">
        <f t="shared" si="0"/>
        <v/>
      </c>
      <c r="B203" s="6"/>
      <c r="C203" s="20"/>
      <c r="D203" s="5"/>
      <c r="E203" s="7" t="str">
        <f t="array" ref="E203">IFERROR(INDEX(Base_Estudiantes!$A$4:$A$505,MATCH(D203,Base_Estudiantes!$C$4:$C$505,0)),"")</f>
        <v/>
      </c>
      <c r="F203" s="7" t="str">
        <f t="array" ref="F203">IFERROR(INDEX(Base_Estudiantes!$B$4:$B$505,MATCH(D203,Base_Estudiantes!$C$4:$C$505,0)),"")</f>
        <v/>
      </c>
      <c r="G203" s="7" t="str">
        <f t="array" ref="G203">IFERROR(INDEX(Base_Estudiantes!$D$4:$D$505,MATCH(D203,Base_Estudiantes!$C$4:$C$505,0)),"")</f>
        <v/>
      </c>
      <c r="H203" s="7" t="str">
        <f t="array" ref="H203">IFERROR(INDEX(Base_Estudiantes!$F$4:$F$505,MATCH(D203,Base_Estudiantes!$C$4:$C$505,0)),"")</f>
        <v/>
      </c>
      <c r="I203" s="7" t="str">
        <f t="array" ref="I203">IFERROR(INDEX(Base_Estudiantes!$G$4:$G$505,MATCH(D203,Base_Estudiantes!$C$4:$C$505,0)),"")</f>
        <v/>
      </c>
      <c r="J203" s="7" t="str">
        <f t="array" ref="J203">IFERROR(INDEX(Base_Estudiantes!$H$4:$H$505,MATCH(D203,Base_Estudiantes!$C$4:$C$505,0)),"")</f>
        <v/>
      </c>
      <c r="K203" s="5"/>
      <c r="L203" s="5"/>
      <c r="M203" s="5"/>
      <c r="N203" s="5"/>
      <c r="O203" s="5"/>
      <c r="P203" s="5"/>
      <c r="Q203" s="5"/>
      <c r="R203" s="20"/>
      <c r="S203" s="5"/>
      <c r="T203" s="5"/>
    </row>
    <row r="204" spans="1:20" ht="15.75" customHeight="1">
      <c r="A204" s="19" t="str">
        <f t="shared" si="0"/>
        <v/>
      </c>
      <c r="B204" s="6"/>
      <c r="C204" s="20"/>
      <c r="D204" s="5"/>
      <c r="E204" s="7" t="str">
        <f t="array" ref="E204">IFERROR(INDEX(Base_Estudiantes!$A$4:$A$505,MATCH(D204,Base_Estudiantes!$C$4:$C$505,0)),"")</f>
        <v/>
      </c>
      <c r="F204" s="7" t="str">
        <f t="array" ref="F204">IFERROR(INDEX(Base_Estudiantes!$B$4:$B$505,MATCH(D204,Base_Estudiantes!$C$4:$C$505,0)),"")</f>
        <v/>
      </c>
      <c r="G204" s="7" t="str">
        <f t="array" ref="G204">IFERROR(INDEX(Base_Estudiantes!$D$4:$D$505,MATCH(D204,Base_Estudiantes!$C$4:$C$505,0)),"")</f>
        <v/>
      </c>
      <c r="H204" s="7" t="str">
        <f t="array" ref="H204">IFERROR(INDEX(Base_Estudiantes!$F$4:$F$505,MATCH(D204,Base_Estudiantes!$C$4:$C$505,0)),"")</f>
        <v/>
      </c>
      <c r="I204" s="7" t="str">
        <f t="array" ref="I204">IFERROR(INDEX(Base_Estudiantes!$G$4:$G$505,MATCH(D204,Base_Estudiantes!$C$4:$C$505,0)),"")</f>
        <v/>
      </c>
      <c r="J204" s="7" t="str">
        <f t="array" ref="J204">IFERROR(INDEX(Base_Estudiantes!$H$4:$H$505,MATCH(D204,Base_Estudiantes!$C$4:$C$505,0)),"")</f>
        <v/>
      </c>
      <c r="K204" s="5"/>
      <c r="L204" s="5"/>
      <c r="M204" s="5"/>
      <c r="N204" s="5"/>
      <c r="O204" s="5"/>
      <c r="P204" s="5"/>
      <c r="Q204" s="5"/>
      <c r="R204" s="20"/>
      <c r="S204" s="5"/>
      <c r="T204" s="5"/>
    </row>
    <row r="205" spans="1:20" ht="15.75" customHeight="1">
      <c r="A205" s="19" t="str">
        <f t="shared" si="0"/>
        <v/>
      </c>
      <c r="B205" s="6"/>
      <c r="C205" s="20"/>
      <c r="D205" s="5"/>
      <c r="E205" s="7" t="str">
        <f t="array" ref="E205">IFERROR(INDEX(Base_Estudiantes!$A$4:$A$505,MATCH(D205,Base_Estudiantes!$C$4:$C$505,0)),"")</f>
        <v/>
      </c>
      <c r="F205" s="7" t="str">
        <f t="array" ref="F205">IFERROR(INDEX(Base_Estudiantes!$B$4:$B$505,MATCH(D205,Base_Estudiantes!$C$4:$C$505,0)),"")</f>
        <v/>
      </c>
      <c r="G205" s="7" t="str">
        <f t="array" ref="G205">IFERROR(INDEX(Base_Estudiantes!$D$4:$D$505,MATCH(D205,Base_Estudiantes!$C$4:$C$505,0)),"")</f>
        <v/>
      </c>
      <c r="H205" s="7" t="str">
        <f t="array" ref="H205">IFERROR(INDEX(Base_Estudiantes!$F$4:$F$505,MATCH(D205,Base_Estudiantes!$C$4:$C$505,0)),"")</f>
        <v/>
      </c>
      <c r="I205" s="7" t="str">
        <f t="array" ref="I205">IFERROR(INDEX(Base_Estudiantes!$G$4:$G$505,MATCH(D205,Base_Estudiantes!$C$4:$C$505,0)),"")</f>
        <v/>
      </c>
      <c r="J205" s="7" t="str">
        <f t="array" ref="J205">IFERROR(INDEX(Base_Estudiantes!$H$4:$H$505,MATCH(D205,Base_Estudiantes!$C$4:$C$505,0)),"")</f>
        <v/>
      </c>
      <c r="K205" s="5"/>
      <c r="L205" s="5"/>
      <c r="M205" s="5"/>
      <c r="N205" s="5"/>
      <c r="O205" s="5"/>
      <c r="P205" s="5"/>
      <c r="Q205" s="5"/>
      <c r="R205" s="20"/>
      <c r="S205" s="5"/>
      <c r="T205" s="5"/>
    </row>
    <row r="206" spans="1:20" ht="15.75" customHeight="1">
      <c r="A206" s="19" t="str">
        <f t="shared" si="0"/>
        <v/>
      </c>
      <c r="B206" s="6"/>
      <c r="C206" s="20"/>
      <c r="D206" s="5"/>
      <c r="E206" s="7" t="str">
        <f t="array" ref="E206">IFERROR(INDEX(Base_Estudiantes!$A$4:$A$505,MATCH(D206,Base_Estudiantes!$C$4:$C$505,0)),"")</f>
        <v/>
      </c>
      <c r="F206" s="7" t="str">
        <f t="array" ref="F206">IFERROR(INDEX(Base_Estudiantes!$B$4:$B$505,MATCH(D206,Base_Estudiantes!$C$4:$C$505,0)),"")</f>
        <v/>
      </c>
      <c r="G206" s="7" t="str">
        <f t="array" ref="G206">IFERROR(INDEX(Base_Estudiantes!$D$4:$D$505,MATCH(D206,Base_Estudiantes!$C$4:$C$505,0)),"")</f>
        <v/>
      </c>
      <c r="H206" s="7" t="str">
        <f t="array" ref="H206">IFERROR(INDEX(Base_Estudiantes!$F$4:$F$505,MATCH(D206,Base_Estudiantes!$C$4:$C$505,0)),"")</f>
        <v/>
      </c>
      <c r="I206" s="7" t="str">
        <f t="array" ref="I206">IFERROR(INDEX(Base_Estudiantes!$G$4:$G$505,MATCH(D206,Base_Estudiantes!$C$4:$C$505,0)),"")</f>
        <v/>
      </c>
      <c r="J206" s="7" t="str">
        <f t="array" ref="J206">IFERROR(INDEX(Base_Estudiantes!$H$4:$H$505,MATCH(D206,Base_Estudiantes!$C$4:$C$505,0)),"")</f>
        <v/>
      </c>
      <c r="K206" s="5"/>
      <c r="L206" s="5"/>
      <c r="M206" s="5"/>
      <c r="N206" s="5"/>
      <c r="O206" s="5"/>
      <c r="P206" s="5"/>
      <c r="Q206" s="5"/>
      <c r="R206" s="20"/>
      <c r="S206" s="5"/>
      <c r="T206" s="5"/>
    </row>
    <row r="207" spans="1:20" ht="15.75" customHeight="1">
      <c r="A207" s="19" t="str">
        <f t="shared" si="0"/>
        <v/>
      </c>
      <c r="B207" s="6"/>
      <c r="C207" s="20"/>
      <c r="D207" s="5"/>
      <c r="E207" s="7" t="str">
        <f t="array" ref="E207">IFERROR(INDEX(Base_Estudiantes!$A$4:$A$505,MATCH(D207,Base_Estudiantes!$C$4:$C$505,0)),"")</f>
        <v/>
      </c>
      <c r="F207" s="7" t="str">
        <f t="array" ref="F207">IFERROR(INDEX(Base_Estudiantes!$B$4:$B$505,MATCH(D207,Base_Estudiantes!$C$4:$C$505,0)),"")</f>
        <v/>
      </c>
      <c r="G207" s="7" t="str">
        <f t="array" ref="G207">IFERROR(INDEX(Base_Estudiantes!$D$4:$D$505,MATCH(D207,Base_Estudiantes!$C$4:$C$505,0)),"")</f>
        <v/>
      </c>
      <c r="H207" s="7" t="str">
        <f t="array" ref="H207">IFERROR(INDEX(Base_Estudiantes!$F$4:$F$505,MATCH(D207,Base_Estudiantes!$C$4:$C$505,0)),"")</f>
        <v/>
      </c>
      <c r="I207" s="7" t="str">
        <f t="array" ref="I207">IFERROR(INDEX(Base_Estudiantes!$G$4:$G$505,MATCH(D207,Base_Estudiantes!$C$4:$C$505,0)),"")</f>
        <v/>
      </c>
      <c r="J207" s="7" t="str">
        <f t="array" ref="J207">IFERROR(INDEX(Base_Estudiantes!$H$4:$H$505,MATCH(D207,Base_Estudiantes!$C$4:$C$505,0)),"")</f>
        <v/>
      </c>
      <c r="K207" s="5"/>
      <c r="L207" s="5"/>
      <c r="M207" s="5"/>
      <c r="N207" s="5"/>
      <c r="O207" s="5"/>
      <c r="P207" s="5"/>
      <c r="Q207" s="5"/>
      <c r="R207" s="20"/>
      <c r="S207" s="5"/>
      <c r="T207" s="5"/>
    </row>
    <row r="208" spans="1:20" ht="15.75" customHeight="1">
      <c r="A208" s="19" t="str">
        <f t="shared" si="0"/>
        <v/>
      </c>
      <c r="B208" s="6"/>
      <c r="C208" s="20"/>
      <c r="D208" s="5"/>
      <c r="E208" s="7" t="str">
        <f t="array" ref="E208">IFERROR(INDEX(Base_Estudiantes!$A$4:$A$505,MATCH(D208,Base_Estudiantes!$C$4:$C$505,0)),"")</f>
        <v/>
      </c>
      <c r="F208" s="7" t="str">
        <f t="array" ref="F208">IFERROR(INDEX(Base_Estudiantes!$B$4:$B$505,MATCH(D208,Base_Estudiantes!$C$4:$C$505,0)),"")</f>
        <v/>
      </c>
      <c r="G208" s="7" t="str">
        <f t="array" ref="G208">IFERROR(INDEX(Base_Estudiantes!$D$4:$D$505,MATCH(D208,Base_Estudiantes!$C$4:$C$505,0)),"")</f>
        <v/>
      </c>
      <c r="H208" s="7" t="str">
        <f t="array" ref="H208">IFERROR(INDEX(Base_Estudiantes!$F$4:$F$505,MATCH(D208,Base_Estudiantes!$C$4:$C$505,0)),"")</f>
        <v/>
      </c>
      <c r="I208" s="7" t="str">
        <f t="array" ref="I208">IFERROR(INDEX(Base_Estudiantes!$G$4:$G$505,MATCH(D208,Base_Estudiantes!$C$4:$C$505,0)),"")</f>
        <v/>
      </c>
      <c r="J208" s="7" t="str">
        <f t="array" ref="J208">IFERROR(INDEX(Base_Estudiantes!$H$4:$H$505,MATCH(D208,Base_Estudiantes!$C$4:$C$505,0)),"")</f>
        <v/>
      </c>
      <c r="K208" s="5"/>
      <c r="L208" s="5"/>
      <c r="M208" s="5"/>
      <c r="N208" s="5"/>
      <c r="O208" s="5"/>
      <c r="P208" s="5"/>
      <c r="Q208" s="5"/>
      <c r="R208" s="20"/>
      <c r="S208" s="5"/>
      <c r="T208" s="5"/>
    </row>
    <row r="209" spans="1:20" ht="15.75" customHeight="1">
      <c r="A209" s="19" t="str">
        <f t="shared" si="0"/>
        <v/>
      </c>
      <c r="B209" s="6"/>
      <c r="C209" s="20"/>
      <c r="D209" s="5"/>
      <c r="E209" s="7" t="str">
        <f t="array" ref="E209">IFERROR(INDEX(Base_Estudiantes!$A$4:$A$505,MATCH(D209,Base_Estudiantes!$C$4:$C$505,0)),"")</f>
        <v/>
      </c>
      <c r="F209" s="7" t="str">
        <f t="array" ref="F209">IFERROR(INDEX(Base_Estudiantes!$B$4:$B$505,MATCH(D209,Base_Estudiantes!$C$4:$C$505,0)),"")</f>
        <v/>
      </c>
      <c r="G209" s="7" t="str">
        <f t="array" ref="G209">IFERROR(INDEX(Base_Estudiantes!$D$4:$D$505,MATCH(D209,Base_Estudiantes!$C$4:$C$505,0)),"")</f>
        <v/>
      </c>
      <c r="H209" s="7" t="str">
        <f t="array" ref="H209">IFERROR(INDEX(Base_Estudiantes!$F$4:$F$505,MATCH(D209,Base_Estudiantes!$C$4:$C$505,0)),"")</f>
        <v/>
      </c>
      <c r="I209" s="7" t="str">
        <f t="array" ref="I209">IFERROR(INDEX(Base_Estudiantes!$G$4:$G$505,MATCH(D209,Base_Estudiantes!$C$4:$C$505,0)),"")</f>
        <v/>
      </c>
      <c r="J209" s="7" t="str">
        <f t="array" ref="J209">IFERROR(INDEX(Base_Estudiantes!$H$4:$H$505,MATCH(D209,Base_Estudiantes!$C$4:$C$505,0)),"")</f>
        <v/>
      </c>
      <c r="K209" s="5"/>
      <c r="L209" s="5"/>
      <c r="M209" s="5"/>
      <c r="N209" s="5"/>
      <c r="O209" s="5"/>
      <c r="P209" s="5"/>
      <c r="Q209" s="5"/>
      <c r="R209" s="20"/>
      <c r="S209" s="5"/>
      <c r="T209" s="5"/>
    </row>
    <row r="210" spans="1:20" ht="15.75" customHeight="1">
      <c r="A210" s="19" t="str">
        <f t="shared" si="0"/>
        <v/>
      </c>
      <c r="B210" s="6"/>
      <c r="C210" s="20"/>
      <c r="D210" s="5"/>
      <c r="E210" s="7" t="str">
        <f t="array" ref="E210">IFERROR(INDEX(Base_Estudiantes!$A$4:$A$505,MATCH(D210,Base_Estudiantes!$C$4:$C$505,0)),"")</f>
        <v/>
      </c>
      <c r="F210" s="7" t="str">
        <f t="array" ref="F210">IFERROR(INDEX(Base_Estudiantes!$B$4:$B$505,MATCH(D210,Base_Estudiantes!$C$4:$C$505,0)),"")</f>
        <v/>
      </c>
      <c r="G210" s="7" t="str">
        <f t="array" ref="G210">IFERROR(INDEX(Base_Estudiantes!$D$4:$D$505,MATCH(D210,Base_Estudiantes!$C$4:$C$505,0)),"")</f>
        <v/>
      </c>
      <c r="H210" s="7" t="str">
        <f t="array" ref="H210">IFERROR(INDEX(Base_Estudiantes!$F$4:$F$505,MATCH(D210,Base_Estudiantes!$C$4:$C$505,0)),"")</f>
        <v/>
      </c>
      <c r="I210" s="7" t="str">
        <f t="array" ref="I210">IFERROR(INDEX(Base_Estudiantes!$G$4:$G$505,MATCH(D210,Base_Estudiantes!$C$4:$C$505,0)),"")</f>
        <v/>
      </c>
      <c r="J210" s="7" t="str">
        <f t="array" ref="J210">IFERROR(INDEX(Base_Estudiantes!$H$4:$H$505,MATCH(D210,Base_Estudiantes!$C$4:$C$505,0)),"")</f>
        <v/>
      </c>
      <c r="K210" s="5"/>
      <c r="L210" s="5"/>
      <c r="M210" s="5"/>
      <c r="N210" s="5"/>
      <c r="O210" s="5"/>
      <c r="P210" s="5"/>
      <c r="Q210" s="5"/>
      <c r="R210" s="20"/>
      <c r="S210" s="5"/>
      <c r="T210" s="5"/>
    </row>
    <row r="211" spans="1:20" ht="15.75" customHeight="1">
      <c r="A211" s="19" t="str">
        <f t="shared" si="0"/>
        <v/>
      </c>
      <c r="B211" s="6"/>
      <c r="C211" s="20"/>
      <c r="D211" s="5"/>
      <c r="E211" s="7" t="str">
        <f t="array" ref="E211">IFERROR(INDEX(Base_Estudiantes!$A$4:$A$505,MATCH(D211,Base_Estudiantes!$C$4:$C$505,0)),"")</f>
        <v/>
      </c>
      <c r="F211" s="7" t="str">
        <f t="array" ref="F211">IFERROR(INDEX(Base_Estudiantes!$B$4:$B$505,MATCH(D211,Base_Estudiantes!$C$4:$C$505,0)),"")</f>
        <v/>
      </c>
      <c r="G211" s="7" t="str">
        <f t="array" ref="G211">IFERROR(INDEX(Base_Estudiantes!$D$4:$D$505,MATCH(D211,Base_Estudiantes!$C$4:$C$505,0)),"")</f>
        <v/>
      </c>
      <c r="H211" s="7" t="str">
        <f t="array" ref="H211">IFERROR(INDEX(Base_Estudiantes!$F$4:$F$505,MATCH(D211,Base_Estudiantes!$C$4:$C$505,0)),"")</f>
        <v/>
      </c>
      <c r="I211" s="7" t="str">
        <f t="array" ref="I211">IFERROR(INDEX(Base_Estudiantes!$G$4:$G$505,MATCH(D211,Base_Estudiantes!$C$4:$C$505,0)),"")</f>
        <v/>
      </c>
      <c r="J211" s="7" t="str">
        <f t="array" ref="J211">IFERROR(INDEX(Base_Estudiantes!$H$4:$H$505,MATCH(D211,Base_Estudiantes!$C$4:$C$505,0)),"")</f>
        <v/>
      </c>
      <c r="K211" s="5"/>
      <c r="L211" s="5"/>
      <c r="M211" s="5"/>
      <c r="N211" s="5"/>
      <c r="O211" s="5"/>
      <c r="P211" s="5"/>
      <c r="Q211" s="5"/>
      <c r="R211" s="20"/>
      <c r="S211" s="5"/>
      <c r="T211" s="5"/>
    </row>
    <row r="212" spans="1:20" ht="15.75" customHeight="1">
      <c r="A212" s="19" t="str">
        <f t="shared" si="0"/>
        <v/>
      </c>
      <c r="B212" s="6"/>
      <c r="C212" s="20"/>
      <c r="D212" s="5"/>
      <c r="E212" s="7" t="str">
        <f t="array" ref="E212">IFERROR(INDEX(Base_Estudiantes!$A$4:$A$505,MATCH(D212,Base_Estudiantes!$C$4:$C$505,0)),"")</f>
        <v/>
      </c>
      <c r="F212" s="7" t="str">
        <f t="array" ref="F212">IFERROR(INDEX(Base_Estudiantes!$B$4:$B$505,MATCH(D212,Base_Estudiantes!$C$4:$C$505,0)),"")</f>
        <v/>
      </c>
      <c r="G212" s="7" t="str">
        <f t="array" ref="G212">IFERROR(INDEX(Base_Estudiantes!$D$4:$D$505,MATCH(D212,Base_Estudiantes!$C$4:$C$505,0)),"")</f>
        <v/>
      </c>
      <c r="H212" s="7" t="str">
        <f t="array" ref="H212">IFERROR(INDEX(Base_Estudiantes!$F$4:$F$505,MATCH(D212,Base_Estudiantes!$C$4:$C$505,0)),"")</f>
        <v/>
      </c>
      <c r="I212" s="7" t="str">
        <f t="array" ref="I212">IFERROR(INDEX(Base_Estudiantes!$G$4:$G$505,MATCH(D212,Base_Estudiantes!$C$4:$C$505,0)),"")</f>
        <v/>
      </c>
      <c r="J212" s="7" t="str">
        <f t="array" ref="J212">IFERROR(INDEX(Base_Estudiantes!$H$4:$H$505,MATCH(D212,Base_Estudiantes!$C$4:$C$505,0)),"")</f>
        <v/>
      </c>
      <c r="K212" s="5"/>
      <c r="L212" s="5"/>
      <c r="M212" s="5"/>
      <c r="N212" s="5"/>
      <c r="O212" s="5"/>
      <c r="P212" s="5"/>
      <c r="Q212" s="5"/>
      <c r="R212" s="20"/>
      <c r="S212" s="5"/>
      <c r="T212" s="5"/>
    </row>
    <row r="213" spans="1:20" ht="15.75" customHeight="1">
      <c r="A213" s="19" t="str">
        <f t="shared" si="0"/>
        <v/>
      </c>
      <c r="B213" s="6"/>
      <c r="C213" s="20"/>
      <c r="D213" s="5"/>
      <c r="E213" s="7" t="str">
        <f t="array" ref="E213">IFERROR(INDEX(Base_Estudiantes!$A$4:$A$505,MATCH(D213,Base_Estudiantes!$C$4:$C$505,0)),"")</f>
        <v/>
      </c>
      <c r="F213" s="7" t="str">
        <f t="array" ref="F213">IFERROR(INDEX(Base_Estudiantes!$B$4:$B$505,MATCH(D213,Base_Estudiantes!$C$4:$C$505,0)),"")</f>
        <v/>
      </c>
      <c r="G213" s="7" t="str">
        <f t="array" ref="G213">IFERROR(INDEX(Base_Estudiantes!$D$4:$D$505,MATCH(D213,Base_Estudiantes!$C$4:$C$505,0)),"")</f>
        <v/>
      </c>
      <c r="H213" s="7" t="str">
        <f t="array" ref="H213">IFERROR(INDEX(Base_Estudiantes!$F$4:$F$505,MATCH(D213,Base_Estudiantes!$C$4:$C$505,0)),"")</f>
        <v/>
      </c>
      <c r="I213" s="7" t="str">
        <f t="array" ref="I213">IFERROR(INDEX(Base_Estudiantes!$G$4:$G$505,MATCH(D213,Base_Estudiantes!$C$4:$C$505,0)),"")</f>
        <v/>
      </c>
      <c r="J213" s="7" t="str">
        <f t="array" ref="J213">IFERROR(INDEX(Base_Estudiantes!$H$4:$H$505,MATCH(D213,Base_Estudiantes!$C$4:$C$505,0)),"")</f>
        <v/>
      </c>
      <c r="K213" s="5"/>
      <c r="L213" s="5"/>
      <c r="M213" s="5"/>
      <c r="N213" s="5"/>
      <c r="O213" s="5"/>
      <c r="P213" s="5"/>
      <c r="Q213" s="5"/>
      <c r="R213" s="20"/>
      <c r="S213" s="5"/>
      <c r="T213" s="5"/>
    </row>
    <row r="214" spans="1:20" ht="15.75" customHeight="1">
      <c r="A214" s="19" t="str">
        <f t="shared" si="0"/>
        <v/>
      </c>
      <c r="B214" s="6"/>
      <c r="C214" s="20"/>
      <c r="D214" s="5"/>
      <c r="E214" s="7" t="str">
        <f t="array" ref="E214">IFERROR(INDEX(Base_Estudiantes!$A$4:$A$505,MATCH(D214,Base_Estudiantes!$C$4:$C$505,0)),"")</f>
        <v/>
      </c>
      <c r="F214" s="7" t="str">
        <f t="array" ref="F214">IFERROR(INDEX(Base_Estudiantes!$B$4:$B$505,MATCH(D214,Base_Estudiantes!$C$4:$C$505,0)),"")</f>
        <v/>
      </c>
      <c r="G214" s="7" t="str">
        <f t="array" ref="G214">IFERROR(INDEX(Base_Estudiantes!$D$4:$D$505,MATCH(D214,Base_Estudiantes!$C$4:$C$505,0)),"")</f>
        <v/>
      </c>
      <c r="H214" s="7" t="str">
        <f t="array" ref="H214">IFERROR(INDEX(Base_Estudiantes!$F$4:$F$505,MATCH(D214,Base_Estudiantes!$C$4:$C$505,0)),"")</f>
        <v/>
      </c>
      <c r="I214" s="7" t="str">
        <f t="array" ref="I214">IFERROR(INDEX(Base_Estudiantes!$G$4:$G$505,MATCH(D214,Base_Estudiantes!$C$4:$C$505,0)),"")</f>
        <v/>
      </c>
      <c r="J214" s="7" t="str">
        <f t="array" ref="J214">IFERROR(INDEX(Base_Estudiantes!$H$4:$H$505,MATCH(D214,Base_Estudiantes!$C$4:$C$505,0)),"")</f>
        <v/>
      </c>
      <c r="K214" s="5"/>
      <c r="L214" s="5"/>
      <c r="M214" s="5"/>
      <c r="N214" s="5"/>
      <c r="O214" s="5"/>
      <c r="P214" s="5"/>
      <c r="Q214" s="5"/>
      <c r="R214" s="20"/>
      <c r="S214" s="5"/>
      <c r="T214" s="5"/>
    </row>
    <row r="215" spans="1:20" ht="15.75" customHeight="1">
      <c r="A215" s="19" t="str">
        <f t="shared" si="0"/>
        <v/>
      </c>
      <c r="B215" s="6"/>
      <c r="C215" s="20"/>
      <c r="D215" s="5"/>
      <c r="E215" s="7" t="str">
        <f t="array" ref="E215">IFERROR(INDEX(Base_Estudiantes!$A$4:$A$505,MATCH(D215,Base_Estudiantes!$C$4:$C$505,0)),"")</f>
        <v/>
      </c>
      <c r="F215" s="7" t="str">
        <f t="array" ref="F215">IFERROR(INDEX(Base_Estudiantes!$B$4:$B$505,MATCH(D215,Base_Estudiantes!$C$4:$C$505,0)),"")</f>
        <v/>
      </c>
      <c r="G215" s="7" t="str">
        <f t="array" ref="G215">IFERROR(INDEX(Base_Estudiantes!$D$4:$D$505,MATCH(D215,Base_Estudiantes!$C$4:$C$505,0)),"")</f>
        <v/>
      </c>
      <c r="H215" s="7" t="str">
        <f t="array" ref="H215">IFERROR(INDEX(Base_Estudiantes!$F$4:$F$505,MATCH(D215,Base_Estudiantes!$C$4:$C$505,0)),"")</f>
        <v/>
      </c>
      <c r="I215" s="7" t="str">
        <f t="array" ref="I215">IFERROR(INDEX(Base_Estudiantes!$G$4:$G$505,MATCH(D215,Base_Estudiantes!$C$4:$C$505,0)),"")</f>
        <v/>
      </c>
      <c r="J215" s="7" t="str">
        <f t="array" ref="J215">IFERROR(INDEX(Base_Estudiantes!$H$4:$H$505,MATCH(D215,Base_Estudiantes!$C$4:$C$505,0)),"")</f>
        <v/>
      </c>
      <c r="K215" s="5"/>
      <c r="L215" s="5"/>
      <c r="M215" s="5"/>
      <c r="N215" s="5"/>
      <c r="O215" s="5"/>
      <c r="P215" s="5"/>
      <c r="Q215" s="5"/>
      <c r="R215" s="20"/>
      <c r="S215" s="5"/>
      <c r="T215" s="5"/>
    </row>
    <row r="216" spans="1:20" ht="15.75" customHeight="1">
      <c r="A216" s="19" t="str">
        <f t="shared" si="0"/>
        <v/>
      </c>
      <c r="B216" s="6"/>
      <c r="C216" s="20"/>
      <c r="D216" s="5"/>
      <c r="E216" s="7" t="str">
        <f t="array" ref="E216">IFERROR(INDEX(Base_Estudiantes!$A$4:$A$505,MATCH(D216,Base_Estudiantes!$C$4:$C$505,0)),"")</f>
        <v/>
      </c>
      <c r="F216" s="7" t="str">
        <f t="array" ref="F216">IFERROR(INDEX(Base_Estudiantes!$B$4:$B$505,MATCH(D216,Base_Estudiantes!$C$4:$C$505,0)),"")</f>
        <v/>
      </c>
      <c r="G216" s="7" t="str">
        <f t="array" ref="G216">IFERROR(INDEX(Base_Estudiantes!$D$4:$D$505,MATCH(D216,Base_Estudiantes!$C$4:$C$505,0)),"")</f>
        <v/>
      </c>
      <c r="H216" s="7" t="str">
        <f t="array" ref="H216">IFERROR(INDEX(Base_Estudiantes!$F$4:$F$505,MATCH(D216,Base_Estudiantes!$C$4:$C$505,0)),"")</f>
        <v/>
      </c>
      <c r="I216" s="7" t="str">
        <f t="array" ref="I216">IFERROR(INDEX(Base_Estudiantes!$G$4:$G$505,MATCH(D216,Base_Estudiantes!$C$4:$C$505,0)),"")</f>
        <v/>
      </c>
      <c r="J216" s="7" t="str">
        <f t="array" ref="J216">IFERROR(INDEX(Base_Estudiantes!$H$4:$H$505,MATCH(D216,Base_Estudiantes!$C$4:$C$505,0)),"")</f>
        <v/>
      </c>
      <c r="K216" s="5"/>
      <c r="L216" s="5"/>
      <c r="M216" s="5"/>
      <c r="N216" s="5"/>
      <c r="O216" s="5"/>
      <c r="P216" s="5"/>
      <c r="Q216" s="5"/>
      <c r="R216" s="20"/>
      <c r="S216" s="5"/>
      <c r="T216" s="5"/>
    </row>
    <row r="217" spans="1:20" ht="15.75" customHeight="1">
      <c r="A217" s="19" t="str">
        <f t="shared" si="0"/>
        <v/>
      </c>
      <c r="B217" s="6"/>
      <c r="C217" s="20"/>
      <c r="D217" s="5"/>
      <c r="E217" s="7" t="str">
        <f t="array" ref="E217">IFERROR(INDEX(Base_Estudiantes!$A$4:$A$505,MATCH(D217,Base_Estudiantes!$C$4:$C$505,0)),"")</f>
        <v/>
      </c>
      <c r="F217" s="7" t="str">
        <f t="array" ref="F217">IFERROR(INDEX(Base_Estudiantes!$B$4:$B$505,MATCH(D217,Base_Estudiantes!$C$4:$C$505,0)),"")</f>
        <v/>
      </c>
      <c r="G217" s="7" t="str">
        <f t="array" ref="G217">IFERROR(INDEX(Base_Estudiantes!$D$4:$D$505,MATCH(D217,Base_Estudiantes!$C$4:$C$505,0)),"")</f>
        <v/>
      </c>
      <c r="H217" s="7" t="str">
        <f t="array" ref="H217">IFERROR(INDEX(Base_Estudiantes!$F$4:$F$505,MATCH(D217,Base_Estudiantes!$C$4:$C$505,0)),"")</f>
        <v/>
      </c>
      <c r="I217" s="7" t="str">
        <f t="array" ref="I217">IFERROR(INDEX(Base_Estudiantes!$G$4:$G$505,MATCH(D217,Base_Estudiantes!$C$4:$C$505,0)),"")</f>
        <v/>
      </c>
      <c r="J217" s="7" t="str">
        <f t="array" ref="J217">IFERROR(INDEX(Base_Estudiantes!$H$4:$H$505,MATCH(D217,Base_Estudiantes!$C$4:$C$505,0)),"")</f>
        <v/>
      </c>
      <c r="K217" s="5"/>
      <c r="L217" s="5"/>
      <c r="M217" s="5"/>
      <c r="N217" s="5"/>
      <c r="O217" s="5"/>
      <c r="P217" s="5"/>
      <c r="Q217" s="5"/>
      <c r="R217" s="20"/>
      <c r="S217" s="5"/>
      <c r="T217" s="5"/>
    </row>
    <row r="218" spans="1:20" ht="15.75" customHeight="1">
      <c r="A218" s="19" t="str">
        <f t="shared" si="0"/>
        <v/>
      </c>
      <c r="B218" s="6"/>
      <c r="C218" s="20"/>
      <c r="D218" s="5"/>
      <c r="E218" s="7" t="str">
        <f t="array" ref="E218">IFERROR(INDEX(Base_Estudiantes!$A$4:$A$505,MATCH(D218,Base_Estudiantes!$C$4:$C$505,0)),"")</f>
        <v/>
      </c>
      <c r="F218" s="7" t="str">
        <f t="array" ref="F218">IFERROR(INDEX(Base_Estudiantes!$B$4:$B$505,MATCH(D218,Base_Estudiantes!$C$4:$C$505,0)),"")</f>
        <v/>
      </c>
      <c r="G218" s="7" t="str">
        <f t="array" ref="G218">IFERROR(INDEX(Base_Estudiantes!$D$4:$D$505,MATCH(D218,Base_Estudiantes!$C$4:$C$505,0)),"")</f>
        <v/>
      </c>
      <c r="H218" s="7" t="str">
        <f t="array" ref="H218">IFERROR(INDEX(Base_Estudiantes!$F$4:$F$505,MATCH(D218,Base_Estudiantes!$C$4:$C$505,0)),"")</f>
        <v/>
      </c>
      <c r="I218" s="7" t="str">
        <f t="array" ref="I218">IFERROR(INDEX(Base_Estudiantes!$G$4:$G$505,MATCH(D218,Base_Estudiantes!$C$4:$C$505,0)),"")</f>
        <v/>
      </c>
      <c r="J218" s="7" t="str">
        <f t="array" ref="J218">IFERROR(INDEX(Base_Estudiantes!$H$4:$H$505,MATCH(D218,Base_Estudiantes!$C$4:$C$505,0)),"")</f>
        <v/>
      </c>
      <c r="K218" s="5"/>
      <c r="L218" s="5"/>
      <c r="M218" s="5"/>
      <c r="N218" s="5"/>
      <c r="O218" s="5"/>
      <c r="P218" s="5"/>
      <c r="Q218" s="5"/>
      <c r="R218" s="20"/>
      <c r="S218" s="5"/>
      <c r="T218" s="5"/>
    </row>
    <row r="219" spans="1:20" ht="15.75" customHeight="1">
      <c r="A219" s="19" t="str">
        <f t="shared" si="0"/>
        <v/>
      </c>
      <c r="B219" s="6"/>
      <c r="C219" s="20"/>
      <c r="D219" s="5"/>
      <c r="E219" s="7" t="str">
        <f t="array" ref="E219">IFERROR(INDEX(Base_Estudiantes!$A$4:$A$505,MATCH(D219,Base_Estudiantes!$C$4:$C$505,0)),"")</f>
        <v/>
      </c>
      <c r="F219" s="7" t="str">
        <f t="array" ref="F219">IFERROR(INDEX(Base_Estudiantes!$B$4:$B$505,MATCH(D219,Base_Estudiantes!$C$4:$C$505,0)),"")</f>
        <v/>
      </c>
      <c r="G219" s="7" t="str">
        <f t="array" ref="G219">IFERROR(INDEX(Base_Estudiantes!$D$4:$D$505,MATCH(D219,Base_Estudiantes!$C$4:$C$505,0)),"")</f>
        <v/>
      </c>
      <c r="H219" s="7" t="str">
        <f t="array" ref="H219">IFERROR(INDEX(Base_Estudiantes!$F$4:$F$505,MATCH(D219,Base_Estudiantes!$C$4:$C$505,0)),"")</f>
        <v/>
      </c>
      <c r="I219" s="7" t="str">
        <f t="array" ref="I219">IFERROR(INDEX(Base_Estudiantes!$G$4:$G$505,MATCH(D219,Base_Estudiantes!$C$4:$C$505,0)),"")</f>
        <v/>
      </c>
      <c r="J219" s="7" t="str">
        <f t="array" ref="J219">IFERROR(INDEX(Base_Estudiantes!$H$4:$H$505,MATCH(D219,Base_Estudiantes!$C$4:$C$505,0)),"")</f>
        <v/>
      </c>
      <c r="K219" s="5"/>
      <c r="L219" s="5"/>
      <c r="M219" s="5"/>
      <c r="N219" s="5"/>
      <c r="O219" s="5"/>
      <c r="P219" s="5"/>
      <c r="Q219" s="5"/>
      <c r="R219" s="20"/>
      <c r="S219" s="5"/>
      <c r="T219" s="5"/>
    </row>
    <row r="220" spans="1:20" ht="15.75" customHeight="1">
      <c r="A220" s="19" t="str">
        <f t="shared" si="0"/>
        <v/>
      </c>
      <c r="B220" s="6"/>
      <c r="C220" s="20"/>
      <c r="D220" s="5"/>
      <c r="E220" s="7" t="str">
        <f t="array" ref="E220">IFERROR(INDEX(Base_Estudiantes!$A$4:$A$505,MATCH(D220,Base_Estudiantes!$C$4:$C$505,0)),"")</f>
        <v/>
      </c>
      <c r="F220" s="7" t="str">
        <f t="array" ref="F220">IFERROR(INDEX(Base_Estudiantes!$B$4:$B$505,MATCH(D220,Base_Estudiantes!$C$4:$C$505,0)),"")</f>
        <v/>
      </c>
      <c r="G220" s="7" t="str">
        <f t="array" ref="G220">IFERROR(INDEX(Base_Estudiantes!$D$4:$D$505,MATCH(D220,Base_Estudiantes!$C$4:$C$505,0)),"")</f>
        <v/>
      </c>
      <c r="H220" s="7" t="str">
        <f t="array" ref="H220">IFERROR(INDEX(Base_Estudiantes!$F$4:$F$505,MATCH(D220,Base_Estudiantes!$C$4:$C$505,0)),"")</f>
        <v/>
      </c>
      <c r="I220" s="7" t="str">
        <f t="array" ref="I220">IFERROR(INDEX(Base_Estudiantes!$G$4:$G$505,MATCH(D220,Base_Estudiantes!$C$4:$C$505,0)),"")</f>
        <v/>
      </c>
      <c r="J220" s="7" t="str">
        <f t="array" ref="J220">IFERROR(INDEX(Base_Estudiantes!$H$4:$H$505,MATCH(D220,Base_Estudiantes!$C$4:$C$505,0)),"")</f>
        <v/>
      </c>
      <c r="K220" s="5"/>
      <c r="L220" s="5"/>
      <c r="M220" s="5"/>
      <c r="N220" s="5"/>
      <c r="O220" s="5"/>
      <c r="P220" s="5"/>
      <c r="Q220" s="5"/>
      <c r="R220" s="20"/>
      <c r="S220" s="5"/>
      <c r="T220" s="5"/>
    </row>
    <row r="221" spans="1:20" ht="15.75" customHeight="1">
      <c r="A221" s="19" t="str">
        <f t="shared" si="0"/>
        <v/>
      </c>
      <c r="B221" s="6"/>
      <c r="C221" s="20"/>
      <c r="D221" s="5"/>
      <c r="E221" s="7" t="str">
        <f t="array" ref="E221">IFERROR(INDEX(Base_Estudiantes!$A$4:$A$505,MATCH(D221,Base_Estudiantes!$C$4:$C$505,0)),"")</f>
        <v/>
      </c>
      <c r="F221" s="7" t="str">
        <f t="array" ref="F221">IFERROR(INDEX(Base_Estudiantes!$B$4:$B$505,MATCH(D221,Base_Estudiantes!$C$4:$C$505,0)),"")</f>
        <v/>
      </c>
      <c r="G221" s="7" t="str">
        <f t="array" ref="G221">IFERROR(INDEX(Base_Estudiantes!$D$4:$D$505,MATCH(D221,Base_Estudiantes!$C$4:$C$505,0)),"")</f>
        <v/>
      </c>
      <c r="H221" s="7" t="str">
        <f t="array" ref="H221">IFERROR(INDEX(Base_Estudiantes!$F$4:$F$505,MATCH(D221,Base_Estudiantes!$C$4:$C$505,0)),"")</f>
        <v/>
      </c>
      <c r="I221" s="7" t="str">
        <f t="array" ref="I221">IFERROR(INDEX(Base_Estudiantes!$G$4:$G$505,MATCH(D221,Base_Estudiantes!$C$4:$C$505,0)),"")</f>
        <v/>
      </c>
      <c r="J221" s="7" t="str">
        <f t="array" ref="J221">IFERROR(INDEX(Base_Estudiantes!$H$4:$H$505,MATCH(D221,Base_Estudiantes!$C$4:$C$505,0)),"")</f>
        <v/>
      </c>
      <c r="K221" s="5"/>
      <c r="L221" s="5"/>
      <c r="M221" s="5"/>
      <c r="N221" s="5"/>
      <c r="O221" s="5"/>
      <c r="P221" s="5"/>
      <c r="Q221" s="5"/>
      <c r="R221" s="20"/>
      <c r="S221" s="5"/>
      <c r="T221" s="5"/>
    </row>
    <row r="222" spans="1:20" ht="15.75" customHeight="1">
      <c r="A222" s="19" t="str">
        <f t="shared" si="0"/>
        <v/>
      </c>
      <c r="B222" s="6"/>
      <c r="C222" s="20"/>
      <c r="D222" s="5"/>
      <c r="E222" s="7" t="str">
        <f t="array" ref="E222">IFERROR(INDEX(Base_Estudiantes!$A$4:$A$505,MATCH(D222,Base_Estudiantes!$C$4:$C$505,0)),"")</f>
        <v/>
      </c>
      <c r="F222" s="7" t="str">
        <f t="array" ref="F222">IFERROR(INDEX(Base_Estudiantes!$B$4:$B$505,MATCH(D222,Base_Estudiantes!$C$4:$C$505,0)),"")</f>
        <v/>
      </c>
      <c r="G222" s="7" t="str">
        <f t="array" ref="G222">IFERROR(INDEX(Base_Estudiantes!$D$4:$D$505,MATCH(D222,Base_Estudiantes!$C$4:$C$505,0)),"")</f>
        <v/>
      </c>
      <c r="H222" s="7" t="str">
        <f t="array" ref="H222">IFERROR(INDEX(Base_Estudiantes!$F$4:$F$505,MATCH(D222,Base_Estudiantes!$C$4:$C$505,0)),"")</f>
        <v/>
      </c>
      <c r="I222" s="7" t="str">
        <f t="array" ref="I222">IFERROR(INDEX(Base_Estudiantes!$G$4:$G$505,MATCH(D222,Base_Estudiantes!$C$4:$C$505,0)),"")</f>
        <v/>
      </c>
      <c r="J222" s="7" t="str">
        <f t="array" ref="J222">IFERROR(INDEX(Base_Estudiantes!$H$4:$H$505,MATCH(D222,Base_Estudiantes!$C$4:$C$505,0)),"")</f>
        <v/>
      </c>
      <c r="K222" s="5"/>
      <c r="L222" s="5"/>
      <c r="M222" s="5"/>
      <c r="N222" s="5"/>
      <c r="O222" s="5"/>
      <c r="P222" s="5"/>
      <c r="Q222" s="5"/>
      <c r="R222" s="20"/>
      <c r="S222" s="5"/>
      <c r="T222" s="5"/>
    </row>
    <row r="223" spans="1:20" ht="15.75" customHeight="1">
      <c r="A223" s="19" t="str">
        <f t="shared" si="0"/>
        <v/>
      </c>
      <c r="B223" s="6"/>
      <c r="C223" s="20"/>
      <c r="D223" s="5"/>
      <c r="E223" s="7" t="str">
        <f t="array" ref="E223">IFERROR(INDEX(Base_Estudiantes!$A$4:$A$505,MATCH(D223,Base_Estudiantes!$C$4:$C$505,0)),"")</f>
        <v/>
      </c>
      <c r="F223" s="7" t="str">
        <f t="array" ref="F223">IFERROR(INDEX(Base_Estudiantes!$B$4:$B$505,MATCH(D223,Base_Estudiantes!$C$4:$C$505,0)),"")</f>
        <v/>
      </c>
      <c r="G223" s="7" t="str">
        <f t="array" ref="G223">IFERROR(INDEX(Base_Estudiantes!$D$4:$D$505,MATCH(D223,Base_Estudiantes!$C$4:$C$505,0)),"")</f>
        <v/>
      </c>
      <c r="H223" s="7" t="str">
        <f t="array" ref="H223">IFERROR(INDEX(Base_Estudiantes!$F$4:$F$505,MATCH(D223,Base_Estudiantes!$C$4:$C$505,0)),"")</f>
        <v/>
      </c>
      <c r="I223" s="7" t="str">
        <f t="array" ref="I223">IFERROR(INDEX(Base_Estudiantes!$G$4:$G$505,MATCH(D223,Base_Estudiantes!$C$4:$C$505,0)),"")</f>
        <v/>
      </c>
      <c r="J223" s="7" t="str">
        <f t="array" ref="J223">IFERROR(INDEX(Base_Estudiantes!$H$4:$H$505,MATCH(D223,Base_Estudiantes!$C$4:$C$505,0)),"")</f>
        <v/>
      </c>
      <c r="K223" s="5"/>
      <c r="L223" s="5"/>
      <c r="M223" s="5"/>
      <c r="N223" s="5"/>
      <c r="O223" s="5"/>
      <c r="P223" s="5"/>
      <c r="Q223" s="5"/>
      <c r="R223" s="20"/>
      <c r="S223" s="5"/>
      <c r="T223" s="5"/>
    </row>
    <row r="224" spans="1:20" ht="15.75" customHeight="1">
      <c r="A224" s="19" t="str">
        <f t="shared" si="0"/>
        <v/>
      </c>
      <c r="B224" s="6"/>
      <c r="C224" s="20"/>
      <c r="D224" s="5"/>
      <c r="E224" s="7" t="str">
        <f t="array" ref="E224">IFERROR(INDEX(Base_Estudiantes!$A$4:$A$505,MATCH(D224,Base_Estudiantes!$C$4:$C$505,0)),"")</f>
        <v/>
      </c>
      <c r="F224" s="7" t="str">
        <f t="array" ref="F224">IFERROR(INDEX(Base_Estudiantes!$B$4:$B$505,MATCH(D224,Base_Estudiantes!$C$4:$C$505,0)),"")</f>
        <v/>
      </c>
      <c r="G224" s="7" t="str">
        <f t="array" ref="G224">IFERROR(INDEX(Base_Estudiantes!$D$4:$D$505,MATCH(D224,Base_Estudiantes!$C$4:$C$505,0)),"")</f>
        <v/>
      </c>
      <c r="H224" s="7" t="str">
        <f t="array" ref="H224">IFERROR(INDEX(Base_Estudiantes!$F$4:$F$505,MATCH(D224,Base_Estudiantes!$C$4:$C$505,0)),"")</f>
        <v/>
      </c>
      <c r="I224" s="7" t="str">
        <f t="array" ref="I224">IFERROR(INDEX(Base_Estudiantes!$G$4:$G$505,MATCH(D224,Base_Estudiantes!$C$4:$C$505,0)),"")</f>
        <v/>
      </c>
      <c r="J224" s="7" t="str">
        <f t="array" ref="J224">IFERROR(INDEX(Base_Estudiantes!$H$4:$H$505,MATCH(D224,Base_Estudiantes!$C$4:$C$505,0)),"")</f>
        <v/>
      </c>
      <c r="K224" s="5"/>
      <c r="L224" s="5"/>
      <c r="M224" s="5"/>
      <c r="N224" s="5"/>
      <c r="O224" s="5"/>
      <c r="P224" s="5"/>
      <c r="Q224" s="5"/>
      <c r="R224" s="20"/>
      <c r="S224" s="5"/>
      <c r="T224" s="5"/>
    </row>
    <row r="225" spans="1:20" ht="15.75" customHeight="1">
      <c r="A225" s="19" t="str">
        <f t="shared" si="0"/>
        <v/>
      </c>
      <c r="B225" s="6"/>
      <c r="C225" s="20"/>
      <c r="D225" s="5"/>
      <c r="E225" s="7" t="str">
        <f t="array" ref="E225">IFERROR(INDEX(Base_Estudiantes!$A$4:$A$505,MATCH(D225,Base_Estudiantes!$C$4:$C$505,0)),"")</f>
        <v/>
      </c>
      <c r="F225" s="7" t="str">
        <f t="array" ref="F225">IFERROR(INDEX(Base_Estudiantes!$B$4:$B$505,MATCH(D225,Base_Estudiantes!$C$4:$C$505,0)),"")</f>
        <v/>
      </c>
      <c r="G225" s="7" t="str">
        <f t="array" ref="G225">IFERROR(INDEX(Base_Estudiantes!$D$4:$D$505,MATCH(D225,Base_Estudiantes!$C$4:$C$505,0)),"")</f>
        <v/>
      </c>
      <c r="H225" s="7" t="str">
        <f t="array" ref="H225">IFERROR(INDEX(Base_Estudiantes!$F$4:$F$505,MATCH(D225,Base_Estudiantes!$C$4:$C$505,0)),"")</f>
        <v/>
      </c>
      <c r="I225" s="7" t="str">
        <f t="array" ref="I225">IFERROR(INDEX(Base_Estudiantes!$G$4:$G$505,MATCH(D225,Base_Estudiantes!$C$4:$C$505,0)),"")</f>
        <v/>
      </c>
      <c r="J225" s="7" t="str">
        <f t="array" ref="J225">IFERROR(INDEX(Base_Estudiantes!$H$4:$H$505,MATCH(D225,Base_Estudiantes!$C$4:$C$505,0)),"")</f>
        <v/>
      </c>
      <c r="K225" s="5"/>
      <c r="L225" s="5"/>
      <c r="M225" s="5"/>
      <c r="N225" s="5"/>
      <c r="O225" s="5"/>
      <c r="P225" s="5"/>
      <c r="Q225" s="5"/>
      <c r="R225" s="20"/>
      <c r="S225" s="5"/>
      <c r="T225" s="5"/>
    </row>
    <row r="226" spans="1:20" ht="15.75" customHeight="1">
      <c r="A226" s="19" t="str">
        <f t="shared" si="0"/>
        <v/>
      </c>
      <c r="B226" s="6"/>
      <c r="C226" s="20"/>
      <c r="D226" s="5"/>
      <c r="E226" s="7" t="str">
        <f t="array" ref="E226">IFERROR(INDEX(Base_Estudiantes!$A$4:$A$505,MATCH(D226,Base_Estudiantes!$C$4:$C$505,0)),"")</f>
        <v/>
      </c>
      <c r="F226" s="7" t="str">
        <f t="array" ref="F226">IFERROR(INDEX(Base_Estudiantes!$B$4:$B$505,MATCH(D226,Base_Estudiantes!$C$4:$C$505,0)),"")</f>
        <v/>
      </c>
      <c r="G226" s="7" t="str">
        <f t="array" ref="G226">IFERROR(INDEX(Base_Estudiantes!$D$4:$D$505,MATCH(D226,Base_Estudiantes!$C$4:$C$505,0)),"")</f>
        <v/>
      </c>
      <c r="H226" s="7" t="str">
        <f t="array" ref="H226">IFERROR(INDEX(Base_Estudiantes!$F$4:$F$505,MATCH(D226,Base_Estudiantes!$C$4:$C$505,0)),"")</f>
        <v/>
      </c>
      <c r="I226" s="7" t="str">
        <f t="array" ref="I226">IFERROR(INDEX(Base_Estudiantes!$G$4:$G$505,MATCH(D226,Base_Estudiantes!$C$4:$C$505,0)),"")</f>
        <v/>
      </c>
      <c r="J226" s="7" t="str">
        <f t="array" ref="J226">IFERROR(INDEX(Base_Estudiantes!$H$4:$H$505,MATCH(D226,Base_Estudiantes!$C$4:$C$505,0)),"")</f>
        <v/>
      </c>
      <c r="K226" s="5"/>
      <c r="L226" s="5"/>
      <c r="M226" s="5"/>
      <c r="N226" s="5"/>
      <c r="O226" s="5"/>
      <c r="P226" s="5"/>
      <c r="Q226" s="5"/>
      <c r="R226" s="20"/>
      <c r="S226" s="5"/>
      <c r="T226" s="5"/>
    </row>
    <row r="227" spans="1:20" ht="15.75" customHeight="1">
      <c r="A227" s="19" t="str">
        <f t="shared" si="0"/>
        <v/>
      </c>
      <c r="B227" s="6"/>
      <c r="C227" s="20"/>
      <c r="D227" s="5"/>
      <c r="E227" s="7" t="str">
        <f t="array" ref="E227">IFERROR(INDEX(Base_Estudiantes!$A$4:$A$505,MATCH(D227,Base_Estudiantes!$C$4:$C$505,0)),"")</f>
        <v/>
      </c>
      <c r="F227" s="7" t="str">
        <f t="array" ref="F227">IFERROR(INDEX(Base_Estudiantes!$B$4:$B$505,MATCH(D227,Base_Estudiantes!$C$4:$C$505,0)),"")</f>
        <v/>
      </c>
      <c r="G227" s="7" t="str">
        <f t="array" ref="G227">IFERROR(INDEX(Base_Estudiantes!$D$4:$D$505,MATCH(D227,Base_Estudiantes!$C$4:$C$505,0)),"")</f>
        <v/>
      </c>
      <c r="H227" s="7" t="str">
        <f t="array" ref="H227">IFERROR(INDEX(Base_Estudiantes!$F$4:$F$505,MATCH(D227,Base_Estudiantes!$C$4:$C$505,0)),"")</f>
        <v/>
      </c>
      <c r="I227" s="7" t="str">
        <f t="array" ref="I227">IFERROR(INDEX(Base_Estudiantes!$G$4:$G$505,MATCH(D227,Base_Estudiantes!$C$4:$C$505,0)),"")</f>
        <v/>
      </c>
      <c r="J227" s="7" t="str">
        <f t="array" ref="J227">IFERROR(INDEX(Base_Estudiantes!$H$4:$H$505,MATCH(D227,Base_Estudiantes!$C$4:$C$505,0)),"")</f>
        <v/>
      </c>
      <c r="K227" s="5"/>
      <c r="L227" s="5"/>
      <c r="M227" s="5"/>
      <c r="N227" s="5"/>
      <c r="O227" s="5"/>
      <c r="P227" s="5"/>
      <c r="Q227" s="5"/>
      <c r="R227" s="20"/>
      <c r="S227" s="5"/>
      <c r="T227" s="5"/>
    </row>
    <row r="228" spans="1:20" ht="15.75" customHeight="1">
      <c r="A228" s="19" t="str">
        <f t="shared" si="0"/>
        <v/>
      </c>
      <c r="B228" s="6"/>
      <c r="C228" s="20"/>
      <c r="D228" s="5"/>
      <c r="E228" s="7" t="str">
        <f t="array" ref="E228">IFERROR(INDEX(Base_Estudiantes!$A$4:$A$505,MATCH(D228,Base_Estudiantes!$C$4:$C$505,0)),"")</f>
        <v/>
      </c>
      <c r="F228" s="7" t="str">
        <f t="array" ref="F228">IFERROR(INDEX(Base_Estudiantes!$B$4:$B$505,MATCH(D228,Base_Estudiantes!$C$4:$C$505,0)),"")</f>
        <v/>
      </c>
      <c r="G228" s="7" t="str">
        <f t="array" ref="G228">IFERROR(INDEX(Base_Estudiantes!$D$4:$D$505,MATCH(D228,Base_Estudiantes!$C$4:$C$505,0)),"")</f>
        <v/>
      </c>
      <c r="H228" s="7" t="str">
        <f t="array" ref="H228">IFERROR(INDEX(Base_Estudiantes!$F$4:$F$505,MATCH(D228,Base_Estudiantes!$C$4:$C$505,0)),"")</f>
        <v/>
      </c>
      <c r="I228" s="7" t="str">
        <f t="array" ref="I228">IFERROR(INDEX(Base_Estudiantes!$G$4:$G$505,MATCH(D228,Base_Estudiantes!$C$4:$C$505,0)),"")</f>
        <v/>
      </c>
      <c r="J228" s="7" t="str">
        <f t="array" ref="J228">IFERROR(INDEX(Base_Estudiantes!$H$4:$H$505,MATCH(D228,Base_Estudiantes!$C$4:$C$505,0)),"")</f>
        <v/>
      </c>
      <c r="K228" s="5"/>
      <c r="L228" s="5"/>
      <c r="M228" s="5"/>
      <c r="N228" s="5"/>
      <c r="O228" s="5"/>
      <c r="P228" s="5"/>
      <c r="Q228" s="5"/>
      <c r="R228" s="20"/>
      <c r="S228" s="5"/>
      <c r="T228" s="5"/>
    </row>
    <row r="229" spans="1:20" ht="15.75" customHeight="1">
      <c r="A229" s="19" t="str">
        <f t="shared" si="0"/>
        <v/>
      </c>
      <c r="B229" s="6"/>
      <c r="C229" s="20"/>
      <c r="D229" s="5"/>
      <c r="E229" s="7" t="str">
        <f t="array" ref="E229">IFERROR(INDEX(Base_Estudiantes!$A$4:$A$505,MATCH(D229,Base_Estudiantes!$C$4:$C$505,0)),"")</f>
        <v/>
      </c>
      <c r="F229" s="7" t="str">
        <f t="array" ref="F229">IFERROR(INDEX(Base_Estudiantes!$B$4:$B$505,MATCH(D229,Base_Estudiantes!$C$4:$C$505,0)),"")</f>
        <v/>
      </c>
      <c r="G229" s="7" t="str">
        <f t="array" ref="G229">IFERROR(INDEX(Base_Estudiantes!$D$4:$D$505,MATCH(D229,Base_Estudiantes!$C$4:$C$505,0)),"")</f>
        <v/>
      </c>
      <c r="H229" s="7" t="str">
        <f t="array" ref="H229">IFERROR(INDEX(Base_Estudiantes!$F$4:$F$505,MATCH(D229,Base_Estudiantes!$C$4:$C$505,0)),"")</f>
        <v/>
      </c>
      <c r="I229" s="7" t="str">
        <f t="array" ref="I229">IFERROR(INDEX(Base_Estudiantes!$G$4:$G$505,MATCH(D229,Base_Estudiantes!$C$4:$C$505,0)),"")</f>
        <v/>
      </c>
      <c r="J229" s="7" t="str">
        <f t="array" ref="J229">IFERROR(INDEX(Base_Estudiantes!$H$4:$H$505,MATCH(D229,Base_Estudiantes!$C$4:$C$505,0)),"")</f>
        <v/>
      </c>
      <c r="K229" s="5"/>
      <c r="L229" s="5"/>
      <c r="M229" s="5"/>
      <c r="N229" s="5"/>
      <c r="O229" s="5"/>
      <c r="P229" s="5"/>
      <c r="Q229" s="5"/>
      <c r="R229" s="20"/>
      <c r="S229" s="5"/>
      <c r="T229" s="5"/>
    </row>
    <row r="230" spans="1:20" ht="15.75" customHeight="1">
      <c r="A230" s="19" t="str">
        <f t="shared" si="0"/>
        <v/>
      </c>
      <c r="B230" s="6"/>
      <c r="C230" s="20"/>
      <c r="D230" s="5"/>
      <c r="E230" s="7" t="str">
        <f t="array" ref="E230">IFERROR(INDEX(Base_Estudiantes!$A$4:$A$505,MATCH(D230,Base_Estudiantes!$C$4:$C$505,0)),"")</f>
        <v/>
      </c>
      <c r="F230" s="7" t="str">
        <f t="array" ref="F230">IFERROR(INDEX(Base_Estudiantes!$B$4:$B$505,MATCH(D230,Base_Estudiantes!$C$4:$C$505,0)),"")</f>
        <v/>
      </c>
      <c r="G230" s="7" t="str">
        <f t="array" ref="G230">IFERROR(INDEX(Base_Estudiantes!$D$4:$D$505,MATCH(D230,Base_Estudiantes!$C$4:$C$505,0)),"")</f>
        <v/>
      </c>
      <c r="H230" s="7" t="str">
        <f t="array" ref="H230">IFERROR(INDEX(Base_Estudiantes!$F$4:$F$505,MATCH(D230,Base_Estudiantes!$C$4:$C$505,0)),"")</f>
        <v/>
      </c>
      <c r="I230" s="7" t="str">
        <f t="array" ref="I230">IFERROR(INDEX(Base_Estudiantes!$G$4:$G$505,MATCH(D230,Base_Estudiantes!$C$4:$C$505,0)),"")</f>
        <v/>
      </c>
      <c r="J230" s="7" t="str">
        <f t="array" ref="J230">IFERROR(INDEX(Base_Estudiantes!$H$4:$H$505,MATCH(D230,Base_Estudiantes!$C$4:$C$505,0)),"")</f>
        <v/>
      </c>
      <c r="K230" s="5"/>
      <c r="L230" s="5"/>
      <c r="M230" s="5"/>
      <c r="N230" s="5"/>
      <c r="O230" s="5"/>
      <c r="P230" s="5"/>
      <c r="Q230" s="5"/>
      <c r="R230" s="20"/>
      <c r="S230" s="5"/>
      <c r="T230" s="5"/>
    </row>
    <row r="231" spans="1:20" ht="15.75" customHeight="1">
      <c r="A231" s="19" t="str">
        <f t="shared" si="0"/>
        <v/>
      </c>
      <c r="B231" s="6"/>
      <c r="C231" s="20"/>
      <c r="D231" s="5"/>
      <c r="E231" s="7" t="str">
        <f t="array" ref="E231">IFERROR(INDEX(Base_Estudiantes!$A$4:$A$505,MATCH(D231,Base_Estudiantes!$C$4:$C$505,0)),"")</f>
        <v/>
      </c>
      <c r="F231" s="7" t="str">
        <f t="array" ref="F231">IFERROR(INDEX(Base_Estudiantes!$B$4:$B$505,MATCH(D231,Base_Estudiantes!$C$4:$C$505,0)),"")</f>
        <v/>
      </c>
      <c r="G231" s="7" t="str">
        <f t="array" ref="G231">IFERROR(INDEX(Base_Estudiantes!$D$4:$D$505,MATCH(D231,Base_Estudiantes!$C$4:$C$505,0)),"")</f>
        <v/>
      </c>
      <c r="H231" s="7" t="str">
        <f t="array" ref="H231">IFERROR(INDEX(Base_Estudiantes!$F$4:$F$505,MATCH(D231,Base_Estudiantes!$C$4:$C$505,0)),"")</f>
        <v/>
      </c>
      <c r="I231" s="7" t="str">
        <f t="array" ref="I231">IFERROR(INDEX(Base_Estudiantes!$G$4:$G$505,MATCH(D231,Base_Estudiantes!$C$4:$C$505,0)),"")</f>
        <v/>
      </c>
      <c r="J231" s="7" t="str">
        <f t="array" ref="J231">IFERROR(INDEX(Base_Estudiantes!$H$4:$H$505,MATCH(D231,Base_Estudiantes!$C$4:$C$505,0)),"")</f>
        <v/>
      </c>
      <c r="K231" s="5"/>
      <c r="L231" s="5"/>
      <c r="M231" s="5"/>
      <c r="N231" s="5"/>
      <c r="O231" s="5"/>
      <c r="P231" s="5"/>
      <c r="Q231" s="5"/>
      <c r="R231" s="20"/>
      <c r="S231" s="5"/>
      <c r="T231" s="5"/>
    </row>
    <row r="232" spans="1:20" ht="15.75" customHeight="1">
      <c r="A232" s="19" t="str">
        <f t="shared" si="0"/>
        <v/>
      </c>
      <c r="B232" s="6"/>
      <c r="C232" s="20"/>
      <c r="D232" s="5"/>
      <c r="E232" s="7" t="str">
        <f t="array" ref="E232">IFERROR(INDEX(Base_Estudiantes!$A$4:$A$505,MATCH(D232,Base_Estudiantes!$C$4:$C$505,0)),"")</f>
        <v/>
      </c>
      <c r="F232" s="7" t="str">
        <f t="array" ref="F232">IFERROR(INDEX(Base_Estudiantes!$B$4:$B$505,MATCH(D232,Base_Estudiantes!$C$4:$C$505,0)),"")</f>
        <v/>
      </c>
      <c r="G232" s="7" t="str">
        <f t="array" ref="G232">IFERROR(INDEX(Base_Estudiantes!$D$4:$D$505,MATCH(D232,Base_Estudiantes!$C$4:$C$505,0)),"")</f>
        <v/>
      </c>
      <c r="H232" s="7" t="str">
        <f t="array" ref="H232">IFERROR(INDEX(Base_Estudiantes!$F$4:$F$505,MATCH(D232,Base_Estudiantes!$C$4:$C$505,0)),"")</f>
        <v/>
      </c>
      <c r="I232" s="7" t="str">
        <f t="array" ref="I232">IFERROR(INDEX(Base_Estudiantes!$G$4:$G$505,MATCH(D232,Base_Estudiantes!$C$4:$C$505,0)),"")</f>
        <v/>
      </c>
      <c r="J232" s="7" t="str">
        <f t="array" ref="J232">IFERROR(INDEX(Base_Estudiantes!$H$4:$H$505,MATCH(D232,Base_Estudiantes!$C$4:$C$505,0)),"")</f>
        <v/>
      </c>
      <c r="K232" s="5"/>
      <c r="L232" s="5"/>
      <c r="M232" s="5"/>
      <c r="N232" s="5"/>
      <c r="O232" s="5"/>
      <c r="P232" s="5"/>
      <c r="Q232" s="5"/>
      <c r="R232" s="20"/>
      <c r="S232" s="5"/>
      <c r="T232" s="5"/>
    </row>
    <row r="233" spans="1:20" ht="15.75" customHeight="1">
      <c r="A233" s="19" t="str">
        <f t="shared" si="0"/>
        <v/>
      </c>
      <c r="B233" s="6"/>
      <c r="C233" s="20"/>
      <c r="D233" s="5"/>
      <c r="E233" s="7" t="str">
        <f t="array" ref="E233">IFERROR(INDEX(Base_Estudiantes!$A$4:$A$505,MATCH(D233,Base_Estudiantes!$C$4:$C$505,0)),"")</f>
        <v/>
      </c>
      <c r="F233" s="7" t="str">
        <f t="array" ref="F233">IFERROR(INDEX(Base_Estudiantes!$B$4:$B$505,MATCH(D233,Base_Estudiantes!$C$4:$C$505,0)),"")</f>
        <v/>
      </c>
      <c r="G233" s="7" t="str">
        <f t="array" ref="G233">IFERROR(INDEX(Base_Estudiantes!$D$4:$D$505,MATCH(D233,Base_Estudiantes!$C$4:$C$505,0)),"")</f>
        <v/>
      </c>
      <c r="H233" s="7" t="str">
        <f t="array" ref="H233">IFERROR(INDEX(Base_Estudiantes!$F$4:$F$505,MATCH(D233,Base_Estudiantes!$C$4:$C$505,0)),"")</f>
        <v/>
      </c>
      <c r="I233" s="7" t="str">
        <f t="array" ref="I233">IFERROR(INDEX(Base_Estudiantes!$G$4:$G$505,MATCH(D233,Base_Estudiantes!$C$4:$C$505,0)),"")</f>
        <v/>
      </c>
      <c r="J233" s="7" t="str">
        <f t="array" ref="J233">IFERROR(INDEX(Base_Estudiantes!$H$4:$H$505,MATCH(D233,Base_Estudiantes!$C$4:$C$505,0)),"")</f>
        <v/>
      </c>
      <c r="K233" s="5"/>
      <c r="L233" s="5"/>
      <c r="M233" s="5"/>
      <c r="N233" s="5"/>
      <c r="O233" s="5"/>
      <c r="P233" s="5"/>
      <c r="Q233" s="5"/>
      <c r="R233" s="20"/>
      <c r="S233" s="5"/>
      <c r="T233" s="5"/>
    </row>
    <row r="234" spans="1:20" ht="15.75" customHeight="1">
      <c r="A234" s="19" t="str">
        <f t="shared" si="0"/>
        <v/>
      </c>
      <c r="B234" s="6"/>
      <c r="C234" s="20"/>
      <c r="D234" s="5"/>
      <c r="E234" s="7" t="str">
        <f t="array" ref="E234">IFERROR(INDEX(Base_Estudiantes!$A$4:$A$505,MATCH(D234,Base_Estudiantes!$C$4:$C$505,0)),"")</f>
        <v/>
      </c>
      <c r="F234" s="7" t="str">
        <f t="array" ref="F234">IFERROR(INDEX(Base_Estudiantes!$B$4:$B$505,MATCH(D234,Base_Estudiantes!$C$4:$C$505,0)),"")</f>
        <v/>
      </c>
      <c r="G234" s="7" t="str">
        <f t="array" ref="G234">IFERROR(INDEX(Base_Estudiantes!$D$4:$D$505,MATCH(D234,Base_Estudiantes!$C$4:$C$505,0)),"")</f>
        <v/>
      </c>
      <c r="H234" s="7" t="str">
        <f t="array" ref="H234">IFERROR(INDEX(Base_Estudiantes!$F$4:$F$505,MATCH(D234,Base_Estudiantes!$C$4:$C$505,0)),"")</f>
        <v/>
      </c>
      <c r="I234" s="7" t="str">
        <f t="array" ref="I234">IFERROR(INDEX(Base_Estudiantes!$G$4:$G$505,MATCH(D234,Base_Estudiantes!$C$4:$C$505,0)),"")</f>
        <v/>
      </c>
      <c r="J234" s="7" t="str">
        <f t="array" ref="J234">IFERROR(INDEX(Base_Estudiantes!$H$4:$H$505,MATCH(D234,Base_Estudiantes!$C$4:$C$505,0)),"")</f>
        <v/>
      </c>
      <c r="K234" s="5"/>
      <c r="L234" s="5"/>
      <c r="M234" s="5"/>
      <c r="N234" s="5"/>
      <c r="O234" s="5"/>
      <c r="P234" s="5"/>
      <c r="Q234" s="5"/>
      <c r="R234" s="20"/>
      <c r="S234" s="5"/>
      <c r="T234" s="5"/>
    </row>
    <row r="235" spans="1:20" ht="15.75" customHeight="1">
      <c r="A235" s="19" t="str">
        <f t="shared" si="0"/>
        <v/>
      </c>
      <c r="B235" s="6"/>
      <c r="C235" s="20"/>
      <c r="D235" s="5"/>
      <c r="E235" s="7" t="str">
        <f t="array" ref="E235">IFERROR(INDEX(Base_Estudiantes!$A$4:$A$505,MATCH(D235,Base_Estudiantes!$C$4:$C$505,0)),"")</f>
        <v/>
      </c>
      <c r="F235" s="7" t="str">
        <f t="array" ref="F235">IFERROR(INDEX(Base_Estudiantes!$B$4:$B$505,MATCH(D235,Base_Estudiantes!$C$4:$C$505,0)),"")</f>
        <v/>
      </c>
      <c r="G235" s="7" t="str">
        <f t="array" ref="G235">IFERROR(INDEX(Base_Estudiantes!$D$4:$D$505,MATCH(D235,Base_Estudiantes!$C$4:$C$505,0)),"")</f>
        <v/>
      </c>
      <c r="H235" s="7" t="str">
        <f t="array" ref="H235">IFERROR(INDEX(Base_Estudiantes!$F$4:$F$505,MATCH(D235,Base_Estudiantes!$C$4:$C$505,0)),"")</f>
        <v/>
      </c>
      <c r="I235" s="7" t="str">
        <f t="array" ref="I235">IFERROR(INDEX(Base_Estudiantes!$G$4:$G$505,MATCH(D235,Base_Estudiantes!$C$4:$C$505,0)),"")</f>
        <v/>
      </c>
      <c r="J235" s="7" t="str">
        <f t="array" ref="J235">IFERROR(INDEX(Base_Estudiantes!$H$4:$H$505,MATCH(D235,Base_Estudiantes!$C$4:$C$505,0)),"")</f>
        <v/>
      </c>
      <c r="K235" s="5"/>
      <c r="L235" s="5"/>
      <c r="M235" s="5"/>
      <c r="N235" s="5"/>
      <c r="O235" s="5"/>
      <c r="P235" s="5"/>
      <c r="Q235" s="5"/>
      <c r="R235" s="20"/>
      <c r="S235" s="5"/>
      <c r="T235" s="5"/>
    </row>
    <row r="236" spans="1:20" ht="15.75" customHeight="1">
      <c r="A236" s="19" t="str">
        <f t="shared" si="0"/>
        <v/>
      </c>
      <c r="B236" s="6"/>
      <c r="C236" s="20"/>
      <c r="D236" s="5"/>
      <c r="E236" s="7" t="str">
        <f t="array" ref="E236">IFERROR(INDEX(Base_Estudiantes!$A$4:$A$505,MATCH(D236,Base_Estudiantes!$C$4:$C$505,0)),"")</f>
        <v/>
      </c>
      <c r="F236" s="7" t="str">
        <f t="array" ref="F236">IFERROR(INDEX(Base_Estudiantes!$B$4:$B$505,MATCH(D236,Base_Estudiantes!$C$4:$C$505,0)),"")</f>
        <v/>
      </c>
      <c r="G236" s="7" t="str">
        <f t="array" ref="G236">IFERROR(INDEX(Base_Estudiantes!$D$4:$D$505,MATCH(D236,Base_Estudiantes!$C$4:$C$505,0)),"")</f>
        <v/>
      </c>
      <c r="H236" s="7" t="str">
        <f t="array" ref="H236">IFERROR(INDEX(Base_Estudiantes!$F$4:$F$505,MATCH(D236,Base_Estudiantes!$C$4:$C$505,0)),"")</f>
        <v/>
      </c>
      <c r="I236" s="7" t="str">
        <f t="array" ref="I236">IFERROR(INDEX(Base_Estudiantes!$G$4:$G$505,MATCH(D236,Base_Estudiantes!$C$4:$C$505,0)),"")</f>
        <v/>
      </c>
      <c r="J236" s="7" t="str">
        <f t="array" ref="J236">IFERROR(INDEX(Base_Estudiantes!$H$4:$H$505,MATCH(D236,Base_Estudiantes!$C$4:$C$505,0)),"")</f>
        <v/>
      </c>
      <c r="K236" s="5"/>
      <c r="L236" s="5"/>
      <c r="M236" s="5"/>
      <c r="N236" s="5"/>
      <c r="O236" s="5"/>
      <c r="P236" s="5"/>
      <c r="Q236" s="5"/>
      <c r="R236" s="20"/>
      <c r="S236" s="5"/>
      <c r="T236" s="5"/>
    </row>
    <row r="237" spans="1:20" ht="15.75" customHeight="1">
      <c r="A237" s="19" t="str">
        <f t="shared" si="0"/>
        <v/>
      </c>
      <c r="B237" s="6"/>
      <c r="C237" s="20"/>
      <c r="D237" s="5"/>
      <c r="E237" s="7" t="str">
        <f t="array" ref="E237">IFERROR(INDEX(Base_Estudiantes!$A$4:$A$505,MATCH(D237,Base_Estudiantes!$C$4:$C$505,0)),"")</f>
        <v/>
      </c>
      <c r="F237" s="7" t="str">
        <f t="array" ref="F237">IFERROR(INDEX(Base_Estudiantes!$B$4:$B$505,MATCH(D237,Base_Estudiantes!$C$4:$C$505,0)),"")</f>
        <v/>
      </c>
      <c r="G237" s="7" t="str">
        <f t="array" ref="G237">IFERROR(INDEX(Base_Estudiantes!$D$4:$D$505,MATCH(D237,Base_Estudiantes!$C$4:$C$505,0)),"")</f>
        <v/>
      </c>
      <c r="H237" s="7" t="str">
        <f t="array" ref="H237">IFERROR(INDEX(Base_Estudiantes!$F$4:$F$505,MATCH(D237,Base_Estudiantes!$C$4:$C$505,0)),"")</f>
        <v/>
      </c>
      <c r="I237" s="7" t="str">
        <f t="array" ref="I237">IFERROR(INDEX(Base_Estudiantes!$G$4:$G$505,MATCH(D237,Base_Estudiantes!$C$4:$C$505,0)),"")</f>
        <v/>
      </c>
      <c r="J237" s="7" t="str">
        <f t="array" ref="J237">IFERROR(INDEX(Base_Estudiantes!$H$4:$H$505,MATCH(D237,Base_Estudiantes!$C$4:$C$505,0)),"")</f>
        <v/>
      </c>
      <c r="K237" s="5"/>
      <c r="L237" s="5"/>
      <c r="M237" s="5"/>
      <c r="N237" s="5"/>
      <c r="O237" s="5"/>
      <c r="P237" s="5"/>
      <c r="Q237" s="5"/>
      <c r="R237" s="20"/>
      <c r="S237" s="5"/>
      <c r="T237" s="5"/>
    </row>
    <row r="238" spans="1:20" ht="15.75" customHeight="1">
      <c r="A238" s="19" t="str">
        <f t="shared" si="0"/>
        <v/>
      </c>
      <c r="B238" s="6"/>
      <c r="C238" s="20"/>
      <c r="D238" s="5"/>
      <c r="E238" s="7" t="str">
        <f t="array" ref="E238">IFERROR(INDEX(Base_Estudiantes!$A$4:$A$505,MATCH(D238,Base_Estudiantes!$C$4:$C$505,0)),"")</f>
        <v/>
      </c>
      <c r="F238" s="7" t="str">
        <f t="array" ref="F238">IFERROR(INDEX(Base_Estudiantes!$B$4:$B$505,MATCH(D238,Base_Estudiantes!$C$4:$C$505,0)),"")</f>
        <v/>
      </c>
      <c r="G238" s="7" t="str">
        <f t="array" ref="G238">IFERROR(INDEX(Base_Estudiantes!$D$4:$D$505,MATCH(D238,Base_Estudiantes!$C$4:$C$505,0)),"")</f>
        <v/>
      </c>
      <c r="H238" s="7" t="str">
        <f t="array" ref="H238">IFERROR(INDEX(Base_Estudiantes!$F$4:$F$505,MATCH(D238,Base_Estudiantes!$C$4:$C$505,0)),"")</f>
        <v/>
      </c>
      <c r="I238" s="7" t="str">
        <f t="array" ref="I238">IFERROR(INDEX(Base_Estudiantes!$G$4:$G$505,MATCH(D238,Base_Estudiantes!$C$4:$C$505,0)),"")</f>
        <v/>
      </c>
      <c r="J238" s="7" t="str">
        <f t="array" ref="J238">IFERROR(INDEX(Base_Estudiantes!$H$4:$H$505,MATCH(D238,Base_Estudiantes!$C$4:$C$505,0)),"")</f>
        <v/>
      </c>
      <c r="K238" s="5"/>
      <c r="L238" s="5"/>
      <c r="M238" s="5"/>
      <c r="N238" s="5"/>
      <c r="O238" s="5"/>
      <c r="P238" s="5"/>
      <c r="Q238" s="5"/>
      <c r="R238" s="20"/>
      <c r="S238" s="5"/>
      <c r="T238" s="5"/>
    </row>
    <row r="239" spans="1:20" ht="15.75" customHeight="1">
      <c r="A239" s="19" t="str">
        <f t="shared" si="0"/>
        <v/>
      </c>
      <c r="B239" s="6"/>
      <c r="C239" s="20"/>
      <c r="D239" s="5"/>
      <c r="E239" s="7" t="str">
        <f t="array" ref="E239">IFERROR(INDEX(Base_Estudiantes!$A$4:$A$505,MATCH(D239,Base_Estudiantes!$C$4:$C$505,0)),"")</f>
        <v/>
      </c>
      <c r="F239" s="7" t="str">
        <f t="array" ref="F239">IFERROR(INDEX(Base_Estudiantes!$B$4:$B$505,MATCH(D239,Base_Estudiantes!$C$4:$C$505,0)),"")</f>
        <v/>
      </c>
      <c r="G239" s="7" t="str">
        <f t="array" ref="G239">IFERROR(INDEX(Base_Estudiantes!$D$4:$D$505,MATCH(D239,Base_Estudiantes!$C$4:$C$505,0)),"")</f>
        <v/>
      </c>
      <c r="H239" s="7" t="str">
        <f t="array" ref="H239">IFERROR(INDEX(Base_Estudiantes!$F$4:$F$505,MATCH(D239,Base_Estudiantes!$C$4:$C$505,0)),"")</f>
        <v/>
      </c>
      <c r="I239" s="7" t="str">
        <f t="array" ref="I239">IFERROR(INDEX(Base_Estudiantes!$G$4:$G$505,MATCH(D239,Base_Estudiantes!$C$4:$C$505,0)),"")</f>
        <v/>
      </c>
      <c r="J239" s="7" t="str">
        <f t="array" ref="J239">IFERROR(INDEX(Base_Estudiantes!$H$4:$H$505,MATCH(D239,Base_Estudiantes!$C$4:$C$505,0)),"")</f>
        <v/>
      </c>
      <c r="K239" s="5"/>
      <c r="L239" s="5"/>
      <c r="M239" s="5"/>
      <c r="N239" s="5"/>
      <c r="O239" s="5"/>
      <c r="P239" s="5"/>
      <c r="Q239" s="5"/>
      <c r="R239" s="20"/>
      <c r="S239" s="5"/>
      <c r="T239" s="5"/>
    </row>
    <row r="240" spans="1:20" ht="15.75" customHeight="1">
      <c r="A240" s="19" t="str">
        <f t="shared" si="0"/>
        <v/>
      </c>
      <c r="B240" s="6"/>
      <c r="C240" s="20"/>
      <c r="D240" s="5"/>
      <c r="E240" s="7" t="str">
        <f t="array" ref="E240">IFERROR(INDEX(Base_Estudiantes!$A$4:$A$505,MATCH(D240,Base_Estudiantes!$C$4:$C$505,0)),"")</f>
        <v/>
      </c>
      <c r="F240" s="7" t="str">
        <f t="array" ref="F240">IFERROR(INDEX(Base_Estudiantes!$B$4:$B$505,MATCH(D240,Base_Estudiantes!$C$4:$C$505,0)),"")</f>
        <v/>
      </c>
      <c r="G240" s="7" t="str">
        <f t="array" ref="G240">IFERROR(INDEX(Base_Estudiantes!$D$4:$D$505,MATCH(D240,Base_Estudiantes!$C$4:$C$505,0)),"")</f>
        <v/>
      </c>
      <c r="H240" s="7" t="str">
        <f t="array" ref="H240">IFERROR(INDEX(Base_Estudiantes!$F$4:$F$505,MATCH(D240,Base_Estudiantes!$C$4:$C$505,0)),"")</f>
        <v/>
      </c>
      <c r="I240" s="7" t="str">
        <f t="array" ref="I240">IFERROR(INDEX(Base_Estudiantes!$G$4:$G$505,MATCH(D240,Base_Estudiantes!$C$4:$C$505,0)),"")</f>
        <v/>
      </c>
      <c r="J240" s="7" t="str">
        <f t="array" ref="J240">IFERROR(INDEX(Base_Estudiantes!$H$4:$H$505,MATCH(D240,Base_Estudiantes!$C$4:$C$505,0)),"")</f>
        <v/>
      </c>
      <c r="K240" s="5"/>
      <c r="L240" s="5"/>
      <c r="M240" s="5"/>
      <c r="N240" s="5"/>
      <c r="O240" s="5"/>
      <c r="P240" s="5"/>
      <c r="Q240" s="5"/>
      <c r="R240" s="20"/>
      <c r="S240" s="5"/>
      <c r="T240" s="5"/>
    </row>
    <row r="241" spans="1:20" ht="15.75" customHeight="1">
      <c r="A241" s="19" t="str">
        <f t="shared" si="0"/>
        <v/>
      </c>
      <c r="B241" s="6"/>
      <c r="C241" s="20"/>
      <c r="D241" s="5"/>
      <c r="E241" s="7" t="str">
        <f t="array" ref="E241">IFERROR(INDEX(Base_Estudiantes!$A$4:$A$505,MATCH(D241,Base_Estudiantes!$C$4:$C$505,0)),"")</f>
        <v/>
      </c>
      <c r="F241" s="7" t="str">
        <f t="array" ref="F241">IFERROR(INDEX(Base_Estudiantes!$B$4:$B$505,MATCH(D241,Base_Estudiantes!$C$4:$C$505,0)),"")</f>
        <v/>
      </c>
      <c r="G241" s="7" t="str">
        <f t="array" ref="G241">IFERROR(INDEX(Base_Estudiantes!$D$4:$D$505,MATCH(D241,Base_Estudiantes!$C$4:$C$505,0)),"")</f>
        <v/>
      </c>
      <c r="H241" s="7" t="str">
        <f t="array" ref="H241">IFERROR(INDEX(Base_Estudiantes!$F$4:$F$505,MATCH(D241,Base_Estudiantes!$C$4:$C$505,0)),"")</f>
        <v/>
      </c>
      <c r="I241" s="7" t="str">
        <f t="array" ref="I241">IFERROR(INDEX(Base_Estudiantes!$G$4:$G$505,MATCH(D241,Base_Estudiantes!$C$4:$C$505,0)),"")</f>
        <v/>
      </c>
      <c r="J241" s="7" t="str">
        <f t="array" ref="J241">IFERROR(INDEX(Base_Estudiantes!$H$4:$H$505,MATCH(D241,Base_Estudiantes!$C$4:$C$505,0)),"")</f>
        <v/>
      </c>
      <c r="K241" s="5"/>
      <c r="L241" s="5"/>
      <c r="M241" s="5"/>
      <c r="N241" s="5"/>
      <c r="O241" s="5"/>
      <c r="P241" s="5"/>
      <c r="Q241" s="5"/>
      <c r="R241" s="20"/>
      <c r="S241" s="5"/>
      <c r="T241" s="5"/>
    </row>
    <row r="242" spans="1:20" ht="15.75" customHeight="1">
      <c r="A242" s="19" t="str">
        <f t="shared" si="0"/>
        <v/>
      </c>
      <c r="B242" s="6"/>
      <c r="C242" s="20"/>
      <c r="D242" s="5"/>
      <c r="E242" s="7" t="str">
        <f t="array" ref="E242">IFERROR(INDEX(Base_Estudiantes!$A$4:$A$505,MATCH(D242,Base_Estudiantes!$C$4:$C$505,0)),"")</f>
        <v/>
      </c>
      <c r="F242" s="7" t="str">
        <f t="array" ref="F242">IFERROR(INDEX(Base_Estudiantes!$B$4:$B$505,MATCH(D242,Base_Estudiantes!$C$4:$C$505,0)),"")</f>
        <v/>
      </c>
      <c r="G242" s="7" t="str">
        <f t="array" ref="G242">IFERROR(INDEX(Base_Estudiantes!$D$4:$D$505,MATCH(D242,Base_Estudiantes!$C$4:$C$505,0)),"")</f>
        <v/>
      </c>
      <c r="H242" s="7" t="str">
        <f t="array" ref="H242">IFERROR(INDEX(Base_Estudiantes!$F$4:$F$505,MATCH(D242,Base_Estudiantes!$C$4:$C$505,0)),"")</f>
        <v/>
      </c>
      <c r="I242" s="7" t="str">
        <f t="array" ref="I242">IFERROR(INDEX(Base_Estudiantes!$G$4:$G$505,MATCH(D242,Base_Estudiantes!$C$4:$C$505,0)),"")</f>
        <v/>
      </c>
      <c r="J242" s="7" t="str">
        <f t="array" ref="J242">IFERROR(INDEX(Base_Estudiantes!$H$4:$H$505,MATCH(D242,Base_Estudiantes!$C$4:$C$505,0)),"")</f>
        <v/>
      </c>
      <c r="K242" s="5"/>
      <c r="L242" s="5"/>
      <c r="M242" s="5"/>
      <c r="N242" s="5"/>
      <c r="O242" s="5"/>
      <c r="P242" s="5"/>
      <c r="Q242" s="5"/>
      <c r="R242" s="20"/>
      <c r="S242" s="5"/>
      <c r="T242" s="5"/>
    </row>
    <row r="243" spans="1:20" ht="15.75" customHeight="1">
      <c r="A243" s="19" t="str">
        <f t="shared" si="0"/>
        <v/>
      </c>
      <c r="B243" s="6"/>
      <c r="C243" s="20"/>
      <c r="D243" s="5"/>
      <c r="E243" s="7" t="str">
        <f t="array" ref="E243">IFERROR(INDEX(Base_Estudiantes!$A$4:$A$505,MATCH(D243,Base_Estudiantes!$C$4:$C$505,0)),"")</f>
        <v/>
      </c>
      <c r="F243" s="7" t="str">
        <f t="array" ref="F243">IFERROR(INDEX(Base_Estudiantes!$B$4:$B$505,MATCH(D243,Base_Estudiantes!$C$4:$C$505,0)),"")</f>
        <v/>
      </c>
      <c r="G243" s="7" t="str">
        <f t="array" ref="G243">IFERROR(INDEX(Base_Estudiantes!$D$4:$D$505,MATCH(D243,Base_Estudiantes!$C$4:$C$505,0)),"")</f>
        <v/>
      </c>
      <c r="H243" s="7" t="str">
        <f t="array" ref="H243">IFERROR(INDEX(Base_Estudiantes!$F$4:$F$505,MATCH(D243,Base_Estudiantes!$C$4:$C$505,0)),"")</f>
        <v/>
      </c>
      <c r="I243" s="7" t="str">
        <f t="array" ref="I243">IFERROR(INDEX(Base_Estudiantes!$G$4:$G$505,MATCH(D243,Base_Estudiantes!$C$4:$C$505,0)),"")</f>
        <v/>
      </c>
      <c r="J243" s="7" t="str">
        <f t="array" ref="J243">IFERROR(INDEX(Base_Estudiantes!$H$4:$H$505,MATCH(D243,Base_Estudiantes!$C$4:$C$505,0)),"")</f>
        <v/>
      </c>
      <c r="K243" s="5"/>
      <c r="L243" s="5"/>
      <c r="M243" s="5"/>
      <c r="N243" s="5"/>
      <c r="O243" s="5"/>
      <c r="P243" s="5"/>
      <c r="Q243" s="5"/>
      <c r="R243" s="20"/>
      <c r="S243" s="5"/>
      <c r="T243" s="5"/>
    </row>
    <row r="244" spans="1:20" ht="15.75" customHeight="1">
      <c r="A244" s="19" t="str">
        <f t="shared" si="0"/>
        <v/>
      </c>
      <c r="B244" s="6"/>
      <c r="C244" s="20"/>
      <c r="D244" s="5"/>
      <c r="E244" s="7" t="str">
        <f t="array" ref="E244">IFERROR(INDEX(Base_Estudiantes!$A$4:$A$505,MATCH(D244,Base_Estudiantes!$C$4:$C$505,0)),"")</f>
        <v/>
      </c>
      <c r="F244" s="7" t="str">
        <f t="array" ref="F244">IFERROR(INDEX(Base_Estudiantes!$B$4:$B$505,MATCH(D244,Base_Estudiantes!$C$4:$C$505,0)),"")</f>
        <v/>
      </c>
      <c r="G244" s="7" t="str">
        <f t="array" ref="G244">IFERROR(INDEX(Base_Estudiantes!$D$4:$D$505,MATCH(D244,Base_Estudiantes!$C$4:$C$505,0)),"")</f>
        <v/>
      </c>
      <c r="H244" s="7" t="str">
        <f t="array" ref="H244">IFERROR(INDEX(Base_Estudiantes!$F$4:$F$505,MATCH(D244,Base_Estudiantes!$C$4:$C$505,0)),"")</f>
        <v/>
      </c>
      <c r="I244" s="7" t="str">
        <f t="array" ref="I244">IFERROR(INDEX(Base_Estudiantes!$G$4:$G$505,MATCH(D244,Base_Estudiantes!$C$4:$C$505,0)),"")</f>
        <v/>
      </c>
      <c r="J244" s="7" t="str">
        <f t="array" ref="J244">IFERROR(INDEX(Base_Estudiantes!$H$4:$H$505,MATCH(D244,Base_Estudiantes!$C$4:$C$505,0)),"")</f>
        <v/>
      </c>
      <c r="K244" s="5"/>
      <c r="L244" s="5"/>
      <c r="M244" s="5"/>
      <c r="N244" s="5"/>
      <c r="O244" s="5"/>
      <c r="P244" s="5"/>
      <c r="Q244" s="5"/>
      <c r="R244" s="20"/>
      <c r="S244" s="5"/>
      <c r="T244" s="5"/>
    </row>
    <row r="245" spans="1:20" ht="15.75" customHeight="1">
      <c r="A245" s="19" t="str">
        <f t="shared" si="0"/>
        <v/>
      </c>
      <c r="B245" s="6"/>
      <c r="C245" s="20"/>
      <c r="D245" s="5"/>
      <c r="E245" s="7" t="str">
        <f t="array" ref="E245">IFERROR(INDEX(Base_Estudiantes!$A$4:$A$505,MATCH(D245,Base_Estudiantes!$C$4:$C$505,0)),"")</f>
        <v/>
      </c>
      <c r="F245" s="7" t="str">
        <f t="array" ref="F245">IFERROR(INDEX(Base_Estudiantes!$B$4:$B$505,MATCH(D245,Base_Estudiantes!$C$4:$C$505,0)),"")</f>
        <v/>
      </c>
      <c r="G245" s="7" t="str">
        <f t="array" ref="G245">IFERROR(INDEX(Base_Estudiantes!$D$4:$D$505,MATCH(D245,Base_Estudiantes!$C$4:$C$505,0)),"")</f>
        <v/>
      </c>
      <c r="H245" s="7" t="str">
        <f t="array" ref="H245">IFERROR(INDEX(Base_Estudiantes!$F$4:$F$505,MATCH(D245,Base_Estudiantes!$C$4:$C$505,0)),"")</f>
        <v/>
      </c>
      <c r="I245" s="7" t="str">
        <f t="array" ref="I245">IFERROR(INDEX(Base_Estudiantes!$G$4:$G$505,MATCH(D245,Base_Estudiantes!$C$4:$C$505,0)),"")</f>
        <v/>
      </c>
      <c r="J245" s="7" t="str">
        <f t="array" ref="J245">IFERROR(INDEX(Base_Estudiantes!$H$4:$H$505,MATCH(D245,Base_Estudiantes!$C$4:$C$505,0)),"")</f>
        <v/>
      </c>
      <c r="K245" s="5"/>
      <c r="L245" s="5"/>
      <c r="M245" s="5"/>
      <c r="N245" s="5"/>
      <c r="O245" s="5"/>
      <c r="P245" s="5"/>
      <c r="Q245" s="5"/>
      <c r="R245" s="20"/>
      <c r="S245" s="5"/>
      <c r="T245" s="5"/>
    </row>
    <row r="246" spans="1:20" ht="15.75" customHeight="1">
      <c r="A246" s="19" t="str">
        <f t="shared" si="0"/>
        <v/>
      </c>
      <c r="B246" s="6"/>
      <c r="C246" s="20"/>
      <c r="D246" s="5"/>
      <c r="E246" s="7" t="str">
        <f t="array" ref="E246">IFERROR(INDEX(Base_Estudiantes!$A$4:$A$505,MATCH(D246,Base_Estudiantes!$C$4:$C$505,0)),"")</f>
        <v/>
      </c>
      <c r="F246" s="7" t="str">
        <f t="array" ref="F246">IFERROR(INDEX(Base_Estudiantes!$B$4:$B$505,MATCH(D246,Base_Estudiantes!$C$4:$C$505,0)),"")</f>
        <v/>
      </c>
      <c r="G246" s="7" t="str">
        <f t="array" ref="G246">IFERROR(INDEX(Base_Estudiantes!$D$4:$D$505,MATCH(D246,Base_Estudiantes!$C$4:$C$505,0)),"")</f>
        <v/>
      </c>
      <c r="H246" s="7" t="str">
        <f t="array" ref="H246">IFERROR(INDEX(Base_Estudiantes!$F$4:$F$505,MATCH(D246,Base_Estudiantes!$C$4:$C$505,0)),"")</f>
        <v/>
      </c>
      <c r="I246" s="7" t="str">
        <f t="array" ref="I246">IFERROR(INDEX(Base_Estudiantes!$G$4:$G$505,MATCH(D246,Base_Estudiantes!$C$4:$C$505,0)),"")</f>
        <v/>
      </c>
      <c r="J246" s="7" t="str">
        <f t="array" ref="J246">IFERROR(INDEX(Base_Estudiantes!$H$4:$H$505,MATCH(D246,Base_Estudiantes!$C$4:$C$505,0)),"")</f>
        <v/>
      </c>
      <c r="K246" s="5"/>
      <c r="L246" s="5"/>
      <c r="M246" s="5"/>
      <c r="N246" s="5"/>
      <c r="O246" s="5"/>
      <c r="P246" s="5"/>
      <c r="Q246" s="5"/>
      <c r="R246" s="20"/>
      <c r="S246" s="5"/>
      <c r="T246" s="5"/>
    </row>
    <row r="247" spans="1:20" ht="15.75" customHeight="1">
      <c r="A247" s="19" t="str">
        <f t="shared" si="0"/>
        <v/>
      </c>
      <c r="B247" s="6"/>
      <c r="C247" s="20"/>
      <c r="D247" s="5"/>
      <c r="E247" s="7" t="str">
        <f t="array" ref="E247">IFERROR(INDEX(Base_Estudiantes!$A$4:$A$505,MATCH(D247,Base_Estudiantes!$C$4:$C$505,0)),"")</f>
        <v/>
      </c>
      <c r="F247" s="7" t="str">
        <f t="array" ref="F247">IFERROR(INDEX(Base_Estudiantes!$B$4:$B$505,MATCH(D247,Base_Estudiantes!$C$4:$C$505,0)),"")</f>
        <v/>
      </c>
      <c r="G247" s="7" t="str">
        <f t="array" ref="G247">IFERROR(INDEX(Base_Estudiantes!$D$4:$D$505,MATCH(D247,Base_Estudiantes!$C$4:$C$505,0)),"")</f>
        <v/>
      </c>
      <c r="H247" s="7" t="str">
        <f t="array" ref="H247">IFERROR(INDEX(Base_Estudiantes!$F$4:$F$505,MATCH(D247,Base_Estudiantes!$C$4:$C$505,0)),"")</f>
        <v/>
      </c>
      <c r="I247" s="7" t="str">
        <f t="array" ref="I247">IFERROR(INDEX(Base_Estudiantes!$G$4:$G$505,MATCH(D247,Base_Estudiantes!$C$4:$C$505,0)),"")</f>
        <v/>
      </c>
      <c r="J247" s="7" t="str">
        <f t="array" ref="J247">IFERROR(INDEX(Base_Estudiantes!$H$4:$H$505,MATCH(D247,Base_Estudiantes!$C$4:$C$505,0)),"")</f>
        <v/>
      </c>
      <c r="K247" s="5"/>
      <c r="L247" s="5"/>
      <c r="M247" s="5"/>
      <c r="N247" s="5"/>
      <c r="O247" s="5"/>
      <c r="P247" s="5"/>
      <c r="Q247" s="5"/>
      <c r="R247" s="20"/>
      <c r="S247" s="5"/>
      <c r="T247" s="5"/>
    </row>
    <row r="248" spans="1:20" ht="15.75" customHeight="1">
      <c r="A248" s="19" t="str">
        <f t="shared" si="0"/>
        <v/>
      </c>
      <c r="B248" s="6"/>
      <c r="C248" s="20"/>
      <c r="D248" s="5"/>
      <c r="E248" s="7" t="str">
        <f t="array" ref="E248">IFERROR(INDEX(Base_Estudiantes!$A$4:$A$505,MATCH(D248,Base_Estudiantes!$C$4:$C$505,0)),"")</f>
        <v/>
      </c>
      <c r="F248" s="7" t="str">
        <f t="array" ref="F248">IFERROR(INDEX(Base_Estudiantes!$B$4:$B$505,MATCH(D248,Base_Estudiantes!$C$4:$C$505,0)),"")</f>
        <v/>
      </c>
      <c r="G248" s="7" t="str">
        <f t="array" ref="G248">IFERROR(INDEX(Base_Estudiantes!$D$4:$D$505,MATCH(D248,Base_Estudiantes!$C$4:$C$505,0)),"")</f>
        <v/>
      </c>
      <c r="H248" s="7" t="str">
        <f t="array" ref="H248">IFERROR(INDEX(Base_Estudiantes!$F$4:$F$505,MATCH(D248,Base_Estudiantes!$C$4:$C$505,0)),"")</f>
        <v/>
      </c>
      <c r="I248" s="7" t="str">
        <f t="array" ref="I248">IFERROR(INDEX(Base_Estudiantes!$G$4:$G$505,MATCH(D248,Base_Estudiantes!$C$4:$C$505,0)),"")</f>
        <v/>
      </c>
      <c r="J248" s="7" t="str">
        <f t="array" ref="J248">IFERROR(INDEX(Base_Estudiantes!$H$4:$H$505,MATCH(D248,Base_Estudiantes!$C$4:$C$505,0)),"")</f>
        <v/>
      </c>
      <c r="K248" s="5"/>
      <c r="L248" s="5"/>
      <c r="M248" s="5"/>
      <c r="N248" s="5"/>
      <c r="O248" s="5"/>
      <c r="P248" s="5"/>
      <c r="Q248" s="5"/>
      <c r="R248" s="20"/>
      <c r="S248" s="5"/>
      <c r="T248" s="5"/>
    </row>
    <row r="249" spans="1:20" ht="15.75" customHeight="1">
      <c r="A249" s="19" t="str">
        <f t="shared" si="0"/>
        <v/>
      </c>
      <c r="B249" s="6"/>
      <c r="C249" s="20"/>
      <c r="D249" s="5"/>
      <c r="E249" s="7" t="str">
        <f t="array" ref="E249">IFERROR(INDEX(Base_Estudiantes!$A$4:$A$505,MATCH(D249,Base_Estudiantes!$C$4:$C$505,0)),"")</f>
        <v/>
      </c>
      <c r="F249" s="7" t="str">
        <f t="array" ref="F249">IFERROR(INDEX(Base_Estudiantes!$B$4:$B$505,MATCH(D249,Base_Estudiantes!$C$4:$C$505,0)),"")</f>
        <v/>
      </c>
      <c r="G249" s="7" t="str">
        <f t="array" ref="G249">IFERROR(INDEX(Base_Estudiantes!$D$4:$D$505,MATCH(D249,Base_Estudiantes!$C$4:$C$505,0)),"")</f>
        <v/>
      </c>
      <c r="H249" s="7" t="str">
        <f t="array" ref="H249">IFERROR(INDEX(Base_Estudiantes!$F$4:$F$505,MATCH(D249,Base_Estudiantes!$C$4:$C$505,0)),"")</f>
        <v/>
      </c>
      <c r="I249" s="7" t="str">
        <f t="array" ref="I249">IFERROR(INDEX(Base_Estudiantes!$G$4:$G$505,MATCH(D249,Base_Estudiantes!$C$4:$C$505,0)),"")</f>
        <v/>
      </c>
      <c r="J249" s="7" t="str">
        <f t="array" ref="J249">IFERROR(INDEX(Base_Estudiantes!$H$4:$H$505,MATCH(D249,Base_Estudiantes!$C$4:$C$505,0)),"")</f>
        <v/>
      </c>
      <c r="K249" s="5"/>
      <c r="L249" s="5"/>
      <c r="M249" s="5"/>
      <c r="N249" s="5"/>
      <c r="O249" s="5"/>
      <c r="P249" s="5"/>
      <c r="Q249" s="5"/>
      <c r="R249" s="20"/>
      <c r="S249" s="5"/>
      <c r="T249" s="5"/>
    </row>
    <row r="250" spans="1:20" ht="15.75" customHeight="1">
      <c r="A250" s="19" t="str">
        <f t="shared" si="0"/>
        <v/>
      </c>
      <c r="B250" s="6"/>
      <c r="C250" s="20"/>
      <c r="D250" s="5"/>
      <c r="E250" s="7" t="str">
        <f t="array" ref="E250">IFERROR(INDEX(Base_Estudiantes!$A$4:$A$505,MATCH(D250,Base_Estudiantes!$C$4:$C$505,0)),"")</f>
        <v/>
      </c>
      <c r="F250" s="7" t="str">
        <f t="array" ref="F250">IFERROR(INDEX(Base_Estudiantes!$B$4:$B$505,MATCH(D250,Base_Estudiantes!$C$4:$C$505,0)),"")</f>
        <v/>
      </c>
      <c r="G250" s="7" t="str">
        <f t="array" ref="G250">IFERROR(INDEX(Base_Estudiantes!$D$4:$D$505,MATCH(D250,Base_Estudiantes!$C$4:$C$505,0)),"")</f>
        <v/>
      </c>
      <c r="H250" s="7" t="str">
        <f t="array" ref="H250">IFERROR(INDEX(Base_Estudiantes!$F$4:$F$505,MATCH(D250,Base_Estudiantes!$C$4:$C$505,0)),"")</f>
        <v/>
      </c>
      <c r="I250" s="7" t="str">
        <f t="array" ref="I250">IFERROR(INDEX(Base_Estudiantes!$G$4:$G$505,MATCH(D250,Base_Estudiantes!$C$4:$C$505,0)),"")</f>
        <v/>
      </c>
      <c r="J250" s="7" t="str">
        <f t="array" ref="J250">IFERROR(INDEX(Base_Estudiantes!$H$4:$H$505,MATCH(D250,Base_Estudiantes!$C$4:$C$505,0)),"")</f>
        <v/>
      </c>
      <c r="K250" s="5"/>
      <c r="L250" s="5"/>
      <c r="M250" s="5"/>
      <c r="N250" s="5"/>
      <c r="O250" s="5"/>
      <c r="P250" s="5"/>
      <c r="Q250" s="5"/>
      <c r="R250" s="20"/>
      <c r="S250" s="5"/>
      <c r="T250" s="5"/>
    </row>
    <row r="251" spans="1:20" ht="15.75" customHeight="1">
      <c r="A251" s="19" t="str">
        <f t="shared" si="0"/>
        <v/>
      </c>
      <c r="B251" s="6"/>
      <c r="C251" s="20"/>
      <c r="D251" s="5"/>
      <c r="E251" s="7" t="str">
        <f t="array" ref="E251">IFERROR(INDEX(Base_Estudiantes!$A$4:$A$505,MATCH(D251,Base_Estudiantes!$C$4:$C$505,0)),"")</f>
        <v/>
      </c>
      <c r="F251" s="7" t="str">
        <f t="array" ref="F251">IFERROR(INDEX(Base_Estudiantes!$B$4:$B$505,MATCH(D251,Base_Estudiantes!$C$4:$C$505,0)),"")</f>
        <v/>
      </c>
      <c r="G251" s="7" t="str">
        <f t="array" ref="G251">IFERROR(INDEX(Base_Estudiantes!$D$4:$D$505,MATCH(D251,Base_Estudiantes!$C$4:$C$505,0)),"")</f>
        <v/>
      </c>
      <c r="H251" s="7" t="str">
        <f t="array" ref="H251">IFERROR(INDEX(Base_Estudiantes!$F$4:$F$505,MATCH(D251,Base_Estudiantes!$C$4:$C$505,0)),"")</f>
        <v/>
      </c>
      <c r="I251" s="7" t="str">
        <f t="array" ref="I251">IFERROR(INDEX(Base_Estudiantes!$G$4:$G$505,MATCH(D251,Base_Estudiantes!$C$4:$C$505,0)),"")</f>
        <v/>
      </c>
      <c r="J251" s="7" t="str">
        <f t="array" ref="J251">IFERROR(INDEX(Base_Estudiantes!$H$4:$H$505,MATCH(D251,Base_Estudiantes!$C$4:$C$505,0)),"")</f>
        <v/>
      </c>
      <c r="K251" s="5"/>
      <c r="L251" s="5"/>
      <c r="M251" s="5"/>
      <c r="N251" s="5"/>
      <c r="O251" s="5"/>
      <c r="P251" s="5"/>
      <c r="Q251" s="5"/>
      <c r="R251" s="20"/>
      <c r="S251" s="5"/>
      <c r="T251" s="5"/>
    </row>
    <row r="252" spans="1:20" ht="15.75" customHeight="1">
      <c r="A252" s="19" t="str">
        <f t="shared" si="0"/>
        <v/>
      </c>
      <c r="B252" s="6"/>
      <c r="C252" s="20"/>
      <c r="D252" s="5"/>
      <c r="E252" s="7" t="str">
        <f t="array" ref="E252">IFERROR(INDEX(Base_Estudiantes!$A$4:$A$505,MATCH(D252,Base_Estudiantes!$C$4:$C$505,0)),"")</f>
        <v/>
      </c>
      <c r="F252" s="7" t="str">
        <f t="array" ref="F252">IFERROR(INDEX(Base_Estudiantes!$B$4:$B$505,MATCH(D252,Base_Estudiantes!$C$4:$C$505,0)),"")</f>
        <v/>
      </c>
      <c r="G252" s="7" t="str">
        <f t="array" ref="G252">IFERROR(INDEX(Base_Estudiantes!$D$4:$D$505,MATCH(D252,Base_Estudiantes!$C$4:$C$505,0)),"")</f>
        <v/>
      </c>
      <c r="H252" s="7" t="str">
        <f t="array" ref="H252">IFERROR(INDEX(Base_Estudiantes!$F$4:$F$505,MATCH(D252,Base_Estudiantes!$C$4:$C$505,0)),"")</f>
        <v/>
      </c>
      <c r="I252" s="7" t="str">
        <f t="array" ref="I252">IFERROR(INDEX(Base_Estudiantes!$G$4:$G$505,MATCH(D252,Base_Estudiantes!$C$4:$C$505,0)),"")</f>
        <v/>
      </c>
      <c r="J252" s="7" t="str">
        <f t="array" ref="J252">IFERROR(INDEX(Base_Estudiantes!$H$4:$H$505,MATCH(D252,Base_Estudiantes!$C$4:$C$505,0)),"")</f>
        <v/>
      </c>
      <c r="K252" s="5"/>
      <c r="L252" s="5"/>
      <c r="M252" s="5"/>
      <c r="N252" s="5"/>
      <c r="O252" s="5"/>
      <c r="P252" s="5"/>
      <c r="Q252" s="5"/>
      <c r="R252" s="20"/>
      <c r="S252" s="5"/>
      <c r="T252" s="5"/>
    </row>
    <row r="253" spans="1:20" ht="15.75" customHeight="1">
      <c r="A253" s="19" t="str">
        <f t="shared" si="0"/>
        <v/>
      </c>
      <c r="B253" s="6"/>
      <c r="C253" s="20"/>
      <c r="D253" s="5"/>
      <c r="E253" s="7" t="str">
        <f t="array" ref="E253">IFERROR(INDEX(Base_Estudiantes!$A$4:$A$505,MATCH(D253,Base_Estudiantes!$C$4:$C$505,0)),"")</f>
        <v/>
      </c>
      <c r="F253" s="7" t="str">
        <f t="array" ref="F253">IFERROR(INDEX(Base_Estudiantes!$B$4:$B$505,MATCH(D253,Base_Estudiantes!$C$4:$C$505,0)),"")</f>
        <v/>
      </c>
      <c r="G253" s="7" t="str">
        <f t="array" ref="G253">IFERROR(INDEX(Base_Estudiantes!$D$4:$D$505,MATCH(D253,Base_Estudiantes!$C$4:$C$505,0)),"")</f>
        <v/>
      </c>
      <c r="H253" s="7" t="str">
        <f t="array" ref="H253">IFERROR(INDEX(Base_Estudiantes!$F$4:$F$505,MATCH(D253,Base_Estudiantes!$C$4:$C$505,0)),"")</f>
        <v/>
      </c>
      <c r="I253" s="7" t="str">
        <f t="array" ref="I253">IFERROR(INDEX(Base_Estudiantes!$G$4:$G$505,MATCH(D253,Base_Estudiantes!$C$4:$C$505,0)),"")</f>
        <v/>
      </c>
      <c r="J253" s="7" t="str">
        <f t="array" ref="J253">IFERROR(INDEX(Base_Estudiantes!$H$4:$H$505,MATCH(D253,Base_Estudiantes!$C$4:$C$505,0)),"")</f>
        <v/>
      </c>
      <c r="K253" s="5"/>
      <c r="L253" s="5"/>
      <c r="M253" s="5"/>
      <c r="N253" s="5"/>
      <c r="O253" s="5"/>
      <c r="P253" s="5"/>
      <c r="Q253" s="5"/>
      <c r="R253" s="20"/>
      <c r="S253" s="5"/>
      <c r="T253" s="5"/>
    </row>
    <row r="254" spans="1:20" ht="15.75" customHeight="1">
      <c r="A254" s="19" t="str">
        <f t="shared" si="0"/>
        <v/>
      </c>
      <c r="B254" s="6"/>
      <c r="C254" s="20"/>
      <c r="D254" s="5"/>
      <c r="E254" s="7" t="str">
        <f t="array" ref="E254">IFERROR(INDEX(Base_Estudiantes!$A$4:$A$505,MATCH(D254,Base_Estudiantes!$C$4:$C$505,0)),"")</f>
        <v/>
      </c>
      <c r="F254" s="7" t="str">
        <f t="array" ref="F254">IFERROR(INDEX(Base_Estudiantes!$B$4:$B$505,MATCH(D254,Base_Estudiantes!$C$4:$C$505,0)),"")</f>
        <v/>
      </c>
      <c r="G254" s="7" t="str">
        <f t="array" ref="G254">IFERROR(INDEX(Base_Estudiantes!$D$4:$D$505,MATCH(D254,Base_Estudiantes!$C$4:$C$505,0)),"")</f>
        <v/>
      </c>
      <c r="H254" s="7" t="str">
        <f t="array" ref="H254">IFERROR(INDEX(Base_Estudiantes!$F$4:$F$505,MATCH(D254,Base_Estudiantes!$C$4:$C$505,0)),"")</f>
        <v/>
      </c>
      <c r="I254" s="7" t="str">
        <f t="array" ref="I254">IFERROR(INDEX(Base_Estudiantes!$G$4:$G$505,MATCH(D254,Base_Estudiantes!$C$4:$C$505,0)),"")</f>
        <v/>
      </c>
      <c r="J254" s="7" t="str">
        <f t="array" ref="J254">IFERROR(INDEX(Base_Estudiantes!$H$4:$H$505,MATCH(D254,Base_Estudiantes!$C$4:$C$505,0)),"")</f>
        <v/>
      </c>
      <c r="K254" s="5"/>
      <c r="L254" s="5"/>
      <c r="M254" s="5"/>
      <c r="N254" s="5"/>
      <c r="O254" s="5"/>
      <c r="P254" s="5"/>
      <c r="Q254" s="5"/>
      <c r="R254" s="20"/>
      <c r="S254" s="5"/>
      <c r="T254" s="5"/>
    </row>
    <row r="255" spans="1:20" ht="15.75" customHeight="1">
      <c r="A255" s="19" t="str">
        <f t="shared" si="0"/>
        <v/>
      </c>
      <c r="B255" s="6"/>
      <c r="C255" s="20"/>
      <c r="D255" s="5"/>
      <c r="E255" s="7" t="str">
        <f t="array" ref="E255">IFERROR(INDEX(Base_Estudiantes!$A$4:$A$505,MATCH(D255,Base_Estudiantes!$C$4:$C$505,0)),"")</f>
        <v/>
      </c>
      <c r="F255" s="7" t="str">
        <f t="array" ref="F255">IFERROR(INDEX(Base_Estudiantes!$B$4:$B$505,MATCH(D255,Base_Estudiantes!$C$4:$C$505,0)),"")</f>
        <v/>
      </c>
      <c r="G255" s="7" t="str">
        <f t="array" ref="G255">IFERROR(INDEX(Base_Estudiantes!$D$4:$D$505,MATCH(D255,Base_Estudiantes!$C$4:$C$505,0)),"")</f>
        <v/>
      </c>
      <c r="H255" s="7" t="str">
        <f t="array" ref="H255">IFERROR(INDEX(Base_Estudiantes!$F$4:$F$505,MATCH(D255,Base_Estudiantes!$C$4:$C$505,0)),"")</f>
        <v/>
      </c>
      <c r="I255" s="7" t="str">
        <f t="array" ref="I255">IFERROR(INDEX(Base_Estudiantes!$G$4:$G$505,MATCH(D255,Base_Estudiantes!$C$4:$C$505,0)),"")</f>
        <v/>
      </c>
      <c r="J255" s="7" t="str">
        <f t="array" ref="J255">IFERROR(INDEX(Base_Estudiantes!$H$4:$H$505,MATCH(D255,Base_Estudiantes!$C$4:$C$505,0)),"")</f>
        <v/>
      </c>
      <c r="K255" s="5"/>
      <c r="L255" s="5"/>
      <c r="M255" s="5"/>
      <c r="N255" s="5"/>
      <c r="O255" s="5"/>
      <c r="P255" s="5"/>
      <c r="Q255" s="5"/>
      <c r="R255" s="20"/>
      <c r="S255" s="5"/>
      <c r="T255" s="5"/>
    </row>
    <row r="256" spans="1:20" ht="15.75" customHeight="1">
      <c r="A256" s="19" t="str">
        <f t="shared" si="0"/>
        <v/>
      </c>
      <c r="B256" s="6"/>
      <c r="C256" s="20"/>
      <c r="D256" s="5"/>
      <c r="E256" s="7" t="str">
        <f t="array" ref="E256">IFERROR(INDEX(Base_Estudiantes!$A$4:$A$505,MATCH(D256,Base_Estudiantes!$C$4:$C$505,0)),"")</f>
        <v/>
      </c>
      <c r="F256" s="7" t="str">
        <f t="array" ref="F256">IFERROR(INDEX(Base_Estudiantes!$B$4:$B$505,MATCH(D256,Base_Estudiantes!$C$4:$C$505,0)),"")</f>
        <v/>
      </c>
      <c r="G256" s="7" t="str">
        <f t="array" ref="G256">IFERROR(INDEX(Base_Estudiantes!$D$4:$D$505,MATCH(D256,Base_Estudiantes!$C$4:$C$505,0)),"")</f>
        <v/>
      </c>
      <c r="H256" s="7" t="str">
        <f t="array" ref="H256">IFERROR(INDEX(Base_Estudiantes!$F$4:$F$505,MATCH(D256,Base_Estudiantes!$C$4:$C$505,0)),"")</f>
        <v/>
      </c>
      <c r="I256" s="7" t="str">
        <f t="array" ref="I256">IFERROR(INDEX(Base_Estudiantes!$G$4:$G$505,MATCH(D256,Base_Estudiantes!$C$4:$C$505,0)),"")</f>
        <v/>
      </c>
      <c r="J256" s="7" t="str">
        <f t="array" ref="J256">IFERROR(INDEX(Base_Estudiantes!$H$4:$H$505,MATCH(D256,Base_Estudiantes!$C$4:$C$505,0)),"")</f>
        <v/>
      </c>
      <c r="K256" s="5"/>
      <c r="L256" s="5"/>
      <c r="M256" s="5"/>
      <c r="N256" s="5"/>
      <c r="O256" s="5"/>
      <c r="P256" s="5"/>
      <c r="Q256" s="5"/>
      <c r="R256" s="20"/>
      <c r="S256" s="5"/>
      <c r="T256" s="5"/>
    </row>
    <row r="257" spans="1:20" ht="15.75" customHeight="1">
      <c r="A257" s="19" t="str">
        <f t="shared" si="0"/>
        <v/>
      </c>
      <c r="B257" s="6"/>
      <c r="C257" s="20"/>
      <c r="D257" s="5"/>
      <c r="E257" s="7" t="str">
        <f t="array" ref="E257">IFERROR(INDEX(Base_Estudiantes!$A$4:$A$505,MATCH(D257,Base_Estudiantes!$C$4:$C$505,0)),"")</f>
        <v/>
      </c>
      <c r="F257" s="7" t="str">
        <f t="array" ref="F257">IFERROR(INDEX(Base_Estudiantes!$B$4:$B$505,MATCH(D257,Base_Estudiantes!$C$4:$C$505,0)),"")</f>
        <v/>
      </c>
      <c r="G257" s="7" t="str">
        <f t="array" ref="G257">IFERROR(INDEX(Base_Estudiantes!$D$4:$D$505,MATCH(D257,Base_Estudiantes!$C$4:$C$505,0)),"")</f>
        <v/>
      </c>
      <c r="H257" s="7" t="str">
        <f t="array" ref="H257">IFERROR(INDEX(Base_Estudiantes!$F$4:$F$505,MATCH(D257,Base_Estudiantes!$C$4:$C$505,0)),"")</f>
        <v/>
      </c>
      <c r="I257" s="7" t="str">
        <f t="array" ref="I257">IFERROR(INDEX(Base_Estudiantes!$G$4:$G$505,MATCH(D257,Base_Estudiantes!$C$4:$C$505,0)),"")</f>
        <v/>
      </c>
      <c r="J257" s="7" t="str">
        <f t="array" ref="J257">IFERROR(INDEX(Base_Estudiantes!$H$4:$H$505,MATCH(D257,Base_Estudiantes!$C$4:$C$505,0)),"")</f>
        <v/>
      </c>
      <c r="K257" s="5"/>
      <c r="L257" s="5"/>
      <c r="M257" s="5"/>
      <c r="N257" s="5"/>
      <c r="O257" s="5"/>
      <c r="P257" s="5"/>
      <c r="Q257" s="5"/>
      <c r="R257" s="20"/>
      <c r="S257" s="5"/>
      <c r="T257" s="5"/>
    </row>
    <row r="258" spans="1:20" ht="15.75" customHeight="1">
      <c r="A258" s="19" t="str">
        <f t="shared" si="0"/>
        <v/>
      </c>
      <c r="B258" s="6"/>
      <c r="C258" s="20"/>
      <c r="D258" s="5"/>
      <c r="E258" s="7" t="str">
        <f t="array" ref="E258">IFERROR(INDEX(Base_Estudiantes!$A$4:$A$505,MATCH(D258,Base_Estudiantes!$C$4:$C$505,0)),"")</f>
        <v/>
      </c>
      <c r="F258" s="7" t="str">
        <f t="array" ref="F258">IFERROR(INDEX(Base_Estudiantes!$B$4:$B$505,MATCH(D258,Base_Estudiantes!$C$4:$C$505,0)),"")</f>
        <v/>
      </c>
      <c r="G258" s="7" t="str">
        <f t="array" ref="G258">IFERROR(INDEX(Base_Estudiantes!$D$4:$D$505,MATCH(D258,Base_Estudiantes!$C$4:$C$505,0)),"")</f>
        <v/>
      </c>
      <c r="H258" s="7" t="str">
        <f t="array" ref="H258">IFERROR(INDEX(Base_Estudiantes!$F$4:$F$505,MATCH(D258,Base_Estudiantes!$C$4:$C$505,0)),"")</f>
        <v/>
      </c>
      <c r="I258" s="7" t="str">
        <f t="array" ref="I258">IFERROR(INDEX(Base_Estudiantes!$G$4:$G$505,MATCH(D258,Base_Estudiantes!$C$4:$C$505,0)),"")</f>
        <v/>
      </c>
      <c r="J258" s="7" t="str">
        <f t="array" ref="J258">IFERROR(INDEX(Base_Estudiantes!$H$4:$H$505,MATCH(D258,Base_Estudiantes!$C$4:$C$505,0)),"")</f>
        <v/>
      </c>
      <c r="K258" s="5"/>
      <c r="L258" s="5"/>
      <c r="M258" s="5"/>
      <c r="N258" s="5"/>
      <c r="O258" s="5"/>
      <c r="P258" s="5"/>
      <c r="Q258" s="5"/>
      <c r="R258" s="20"/>
      <c r="S258" s="5"/>
      <c r="T258" s="5"/>
    </row>
    <row r="259" spans="1:20" ht="15.75" customHeight="1">
      <c r="A259" s="19" t="str">
        <f t="shared" si="0"/>
        <v/>
      </c>
      <c r="B259" s="6"/>
      <c r="C259" s="20"/>
      <c r="D259" s="5"/>
      <c r="E259" s="7" t="str">
        <f t="array" ref="E259">IFERROR(INDEX(Base_Estudiantes!$A$4:$A$505,MATCH(D259,Base_Estudiantes!$C$4:$C$505,0)),"")</f>
        <v/>
      </c>
      <c r="F259" s="7" t="str">
        <f t="array" ref="F259">IFERROR(INDEX(Base_Estudiantes!$B$4:$B$505,MATCH(D259,Base_Estudiantes!$C$4:$C$505,0)),"")</f>
        <v/>
      </c>
      <c r="G259" s="7" t="str">
        <f t="array" ref="G259">IFERROR(INDEX(Base_Estudiantes!$D$4:$D$505,MATCH(D259,Base_Estudiantes!$C$4:$C$505,0)),"")</f>
        <v/>
      </c>
      <c r="H259" s="7" t="str">
        <f t="array" ref="H259">IFERROR(INDEX(Base_Estudiantes!$F$4:$F$505,MATCH(D259,Base_Estudiantes!$C$4:$C$505,0)),"")</f>
        <v/>
      </c>
      <c r="I259" s="7" t="str">
        <f t="array" ref="I259">IFERROR(INDEX(Base_Estudiantes!$G$4:$G$505,MATCH(D259,Base_Estudiantes!$C$4:$C$505,0)),"")</f>
        <v/>
      </c>
      <c r="J259" s="7" t="str">
        <f t="array" ref="J259">IFERROR(INDEX(Base_Estudiantes!$H$4:$H$505,MATCH(D259,Base_Estudiantes!$C$4:$C$505,0)),"")</f>
        <v/>
      </c>
      <c r="K259" s="5"/>
      <c r="L259" s="5"/>
      <c r="M259" s="5"/>
      <c r="N259" s="5"/>
      <c r="O259" s="5"/>
      <c r="P259" s="5"/>
      <c r="Q259" s="5"/>
      <c r="R259" s="20"/>
      <c r="S259" s="5"/>
      <c r="T259" s="5"/>
    </row>
    <row r="260" spans="1:20" ht="15.75" customHeight="1">
      <c r="A260" s="19" t="str">
        <f t="shared" si="0"/>
        <v/>
      </c>
      <c r="B260" s="6"/>
      <c r="C260" s="20"/>
      <c r="D260" s="5"/>
      <c r="E260" s="7" t="str">
        <f t="array" ref="E260">IFERROR(INDEX(Base_Estudiantes!$A$4:$A$505,MATCH(D260,Base_Estudiantes!$C$4:$C$505,0)),"")</f>
        <v/>
      </c>
      <c r="F260" s="7" t="str">
        <f t="array" ref="F260">IFERROR(INDEX(Base_Estudiantes!$B$4:$B$505,MATCH(D260,Base_Estudiantes!$C$4:$C$505,0)),"")</f>
        <v/>
      </c>
      <c r="G260" s="7" t="str">
        <f t="array" ref="G260">IFERROR(INDEX(Base_Estudiantes!$D$4:$D$505,MATCH(D260,Base_Estudiantes!$C$4:$C$505,0)),"")</f>
        <v/>
      </c>
      <c r="H260" s="7" t="str">
        <f t="array" ref="H260">IFERROR(INDEX(Base_Estudiantes!$F$4:$F$505,MATCH(D260,Base_Estudiantes!$C$4:$C$505,0)),"")</f>
        <v/>
      </c>
      <c r="I260" s="7" t="str">
        <f t="array" ref="I260">IFERROR(INDEX(Base_Estudiantes!$G$4:$G$505,MATCH(D260,Base_Estudiantes!$C$4:$C$505,0)),"")</f>
        <v/>
      </c>
      <c r="J260" s="7" t="str">
        <f t="array" ref="J260">IFERROR(INDEX(Base_Estudiantes!$H$4:$H$505,MATCH(D260,Base_Estudiantes!$C$4:$C$505,0)),"")</f>
        <v/>
      </c>
      <c r="K260" s="5"/>
      <c r="L260" s="5"/>
      <c r="M260" s="5"/>
      <c r="N260" s="5"/>
      <c r="O260" s="5"/>
      <c r="P260" s="5"/>
      <c r="Q260" s="5"/>
      <c r="R260" s="20"/>
      <c r="S260" s="5"/>
      <c r="T260" s="5"/>
    </row>
    <row r="261" spans="1:20" ht="15.75" customHeight="1">
      <c r="A261" s="19" t="str">
        <f t="shared" si="0"/>
        <v/>
      </c>
      <c r="B261" s="6"/>
      <c r="C261" s="20"/>
      <c r="D261" s="5"/>
      <c r="E261" s="7" t="str">
        <f t="array" ref="E261">IFERROR(INDEX(Base_Estudiantes!$A$4:$A$505,MATCH(D261,Base_Estudiantes!$C$4:$C$505,0)),"")</f>
        <v/>
      </c>
      <c r="F261" s="7" t="str">
        <f t="array" ref="F261">IFERROR(INDEX(Base_Estudiantes!$B$4:$B$505,MATCH(D261,Base_Estudiantes!$C$4:$C$505,0)),"")</f>
        <v/>
      </c>
      <c r="G261" s="7" t="str">
        <f t="array" ref="G261">IFERROR(INDEX(Base_Estudiantes!$D$4:$D$505,MATCH(D261,Base_Estudiantes!$C$4:$C$505,0)),"")</f>
        <v/>
      </c>
      <c r="H261" s="7" t="str">
        <f t="array" ref="H261">IFERROR(INDEX(Base_Estudiantes!$F$4:$F$505,MATCH(D261,Base_Estudiantes!$C$4:$C$505,0)),"")</f>
        <v/>
      </c>
      <c r="I261" s="7" t="str">
        <f t="array" ref="I261">IFERROR(INDEX(Base_Estudiantes!$G$4:$G$505,MATCH(D261,Base_Estudiantes!$C$4:$C$505,0)),"")</f>
        <v/>
      </c>
      <c r="J261" s="7" t="str">
        <f t="array" ref="J261">IFERROR(INDEX(Base_Estudiantes!$H$4:$H$505,MATCH(D261,Base_Estudiantes!$C$4:$C$505,0)),"")</f>
        <v/>
      </c>
      <c r="K261" s="5"/>
      <c r="L261" s="5"/>
      <c r="M261" s="5"/>
      <c r="N261" s="5"/>
      <c r="O261" s="5"/>
      <c r="P261" s="5"/>
      <c r="Q261" s="5"/>
      <c r="R261" s="20"/>
      <c r="S261" s="5"/>
      <c r="T261" s="5"/>
    </row>
    <row r="262" spans="1:20" ht="15.75" customHeight="1">
      <c r="A262" s="19" t="str">
        <f t="shared" si="0"/>
        <v/>
      </c>
      <c r="B262" s="6"/>
      <c r="C262" s="20"/>
      <c r="D262" s="5"/>
      <c r="E262" s="7" t="str">
        <f t="array" ref="E262">IFERROR(INDEX(Base_Estudiantes!$A$4:$A$505,MATCH(D262,Base_Estudiantes!$C$4:$C$505,0)),"")</f>
        <v/>
      </c>
      <c r="F262" s="7" t="str">
        <f t="array" ref="F262">IFERROR(INDEX(Base_Estudiantes!$B$4:$B$505,MATCH(D262,Base_Estudiantes!$C$4:$C$505,0)),"")</f>
        <v/>
      </c>
      <c r="G262" s="7" t="str">
        <f t="array" ref="G262">IFERROR(INDEX(Base_Estudiantes!$D$4:$D$505,MATCH(D262,Base_Estudiantes!$C$4:$C$505,0)),"")</f>
        <v/>
      </c>
      <c r="H262" s="7" t="str">
        <f t="array" ref="H262">IFERROR(INDEX(Base_Estudiantes!$F$4:$F$505,MATCH(D262,Base_Estudiantes!$C$4:$C$505,0)),"")</f>
        <v/>
      </c>
      <c r="I262" s="7" t="str">
        <f t="array" ref="I262">IFERROR(INDEX(Base_Estudiantes!$G$4:$G$505,MATCH(D262,Base_Estudiantes!$C$4:$C$505,0)),"")</f>
        <v/>
      </c>
      <c r="J262" s="7" t="str">
        <f t="array" ref="J262">IFERROR(INDEX(Base_Estudiantes!$H$4:$H$505,MATCH(D262,Base_Estudiantes!$C$4:$C$505,0)),"")</f>
        <v/>
      </c>
      <c r="K262" s="5"/>
      <c r="L262" s="5"/>
      <c r="M262" s="5"/>
      <c r="N262" s="5"/>
      <c r="O262" s="5"/>
      <c r="P262" s="5"/>
      <c r="Q262" s="5"/>
      <c r="R262" s="20"/>
      <c r="S262" s="5"/>
      <c r="T262" s="5"/>
    </row>
    <row r="263" spans="1:20" ht="15.75" customHeight="1">
      <c r="A263" s="19" t="str">
        <f t="shared" si="0"/>
        <v/>
      </c>
      <c r="B263" s="6"/>
      <c r="C263" s="20"/>
      <c r="D263" s="5"/>
      <c r="E263" s="7" t="str">
        <f t="array" ref="E263">IFERROR(INDEX(Base_Estudiantes!$A$4:$A$505,MATCH(D263,Base_Estudiantes!$C$4:$C$505,0)),"")</f>
        <v/>
      </c>
      <c r="F263" s="7" t="str">
        <f t="array" ref="F263">IFERROR(INDEX(Base_Estudiantes!$B$4:$B$505,MATCH(D263,Base_Estudiantes!$C$4:$C$505,0)),"")</f>
        <v/>
      </c>
      <c r="G263" s="7" t="str">
        <f t="array" ref="G263">IFERROR(INDEX(Base_Estudiantes!$D$4:$D$505,MATCH(D263,Base_Estudiantes!$C$4:$C$505,0)),"")</f>
        <v/>
      </c>
      <c r="H263" s="7" t="str">
        <f t="array" ref="H263">IFERROR(INDEX(Base_Estudiantes!$F$4:$F$505,MATCH(D263,Base_Estudiantes!$C$4:$C$505,0)),"")</f>
        <v/>
      </c>
      <c r="I263" s="7" t="str">
        <f t="array" ref="I263">IFERROR(INDEX(Base_Estudiantes!$G$4:$G$505,MATCH(D263,Base_Estudiantes!$C$4:$C$505,0)),"")</f>
        <v/>
      </c>
      <c r="J263" s="7" t="str">
        <f t="array" ref="J263">IFERROR(INDEX(Base_Estudiantes!$H$4:$H$505,MATCH(D263,Base_Estudiantes!$C$4:$C$505,0)),"")</f>
        <v/>
      </c>
      <c r="K263" s="5"/>
      <c r="L263" s="5"/>
      <c r="M263" s="5"/>
      <c r="N263" s="5"/>
      <c r="O263" s="5"/>
      <c r="P263" s="5"/>
      <c r="Q263" s="5"/>
      <c r="R263" s="20"/>
      <c r="S263" s="5"/>
      <c r="T263" s="5"/>
    </row>
    <row r="264" spans="1:20" ht="15.75" customHeight="1">
      <c r="A264" s="19" t="str">
        <f t="shared" si="0"/>
        <v/>
      </c>
      <c r="B264" s="6"/>
      <c r="C264" s="20"/>
      <c r="D264" s="5"/>
      <c r="E264" s="7" t="str">
        <f t="array" ref="E264">IFERROR(INDEX(Base_Estudiantes!$A$4:$A$505,MATCH(D264,Base_Estudiantes!$C$4:$C$505,0)),"")</f>
        <v/>
      </c>
      <c r="F264" s="7" t="str">
        <f t="array" ref="F264">IFERROR(INDEX(Base_Estudiantes!$B$4:$B$505,MATCH(D264,Base_Estudiantes!$C$4:$C$505,0)),"")</f>
        <v/>
      </c>
      <c r="G264" s="7" t="str">
        <f t="array" ref="G264">IFERROR(INDEX(Base_Estudiantes!$D$4:$D$505,MATCH(D264,Base_Estudiantes!$C$4:$C$505,0)),"")</f>
        <v/>
      </c>
      <c r="H264" s="7" t="str">
        <f t="array" ref="H264">IFERROR(INDEX(Base_Estudiantes!$F$4:$F$505,MATCH(D264,Base_Estudiantes!$C$4:$C$505,0)),"")</f>
        <v/>
      </c>
      <c r="I264" s="7" t="str">
        <f t="array" ref="I264">IFERROR(INDEX(Base_Estudiantes!$G$4:$G$505,MATCH(D264,Base_Estudiantes!$C$4:$C$505,0)),"")</f>
        <v/>
      </c>
      <c r="J264" s="7" t="str">
        <f t="array" ref="J264">IFERROR(INDEX(Base_Estudiantes!$H$4:$H$505,MATCH(D264,Base_Estudiantes!$C$4:$C$505,0)),"")</f>
        <v/>
      </c>
      <c r="K264" s="5"/>
      <c r="L264" s="5"/>
      <c r="M264" s="5"/>
      <c r="N264" s="5"/>
      <c r="O264" s="5"/>
      <c r="P264" s="5"/>
      <c r="Q264" s="5"/>
      <c r="R264" s="20"/>
      <c r="S264" s="5"/>
      <c r="T264" s="5"/>
    </row>
    <row r="265" spans="1:20" ht="15.75" customHeight="1">
      <c r="A265" s="19" t="str">
        <f t="shared" si="0"/>
        <v/>
      </c>
      <c r="B265" s="6"/>
      <c r="C265" s="20"/>
      <c r="D265" s="5"/>
      <c r="E265" s="7" t="str">
        <f t="array" ref="E265">IFERROR(INDEX(Base_Estudiantes!$A$4:$A$505,MATCH(D265,Base_Estudiantes!$C$4:$C$505,0)),"")</f>
        <v/>
      </c>
      <c r="F265" s="7" t="str">
        <f t="array" ref="F265">IFERROR(INDEX(Base_Estudiantes!$B$4:$B$505,MATCH(D265,Base_Estudiantes!$C$4:$C$505,0)),"")</f>
        <v/>
      </c>
      <c r="G265" s="7" t="str">
        <f t="array" ref="G265">IFERROR(INDEX(Base_Estudiantes!$D$4:$D$505,MATCH(D265,Base_Estudiantes!$C$4:$C$505,0)),"")</f>
        <v/>
      </c>
      <c r="H265" s="7" t="str">
        <f t="array" ref="H265">IFERROR(INDEX(Base_Estudiantes!$F$4:$F$505,MATCH(D265,Base_Estudiantes!$C$4:$C$505,0)),"")</f>
        <v/>
      </c>
      <c r="I265" s="7" t="str">
        <f t="array" ref="I265">IFERROR(INDEX(Base_Estudiantes!$G$4:$G$505,MATCH(D265,Base_Estudiantes!$C$4:$C$505,0)),"")</f>
        <v/>
      </c>
      <c r="J265" s="7" t="str">
        <f t="array" ref="J265">IFERROR(INDEX(Base_Estudiantes!$H$4:$H$505,MATCH(D265,Base_Estudiantes!$C$4:$C$505,0)),"")</f>
        <v/>
      </c>
      <c r="K265" s="5"/>
      <c r="L265" s="5"/>
      <c r="M265" s="5"/>
      <c r="N265" s="5"/>
      <c r="O265" s="5"/>
      <c r="P265" s="5"/>
      <c r="Q265" s="5"/>
      <c r="R265" s="20"/>
      <c r="S265" s="5"/>
      <c r="T265" s="5"/>
    </row>
    <row r="266" spans="1:20" ht="15.75" customHeight="1">
      <c r="A266" s="19" t="str">
        <f t="shared" si="0"/>
        <v/>
      </c>
      <c r="B266" s="6"/>
      <c r="C266" s="20"/>
      <c r="D266" s="5"/>
      <c r="E266" s="7" t="str">
        <f t="array" ref="E266">IFERROR(INDEX(Base_Estudiantes!$A$4:$A$505,MATCH(D266,Base_Estudiantes!$C$4:$C$505,0)),"")</f>
        <v/>
      </c>
      <c r="F266" s="7" t="str">
        <f t="array" ref="F266">IFERROR(INDEX(Base_Estudiantes!$B$4:$B$505,MATCH(D266,Base_Estudiantes!$C$4:$C$505,0)),"")</f>
        <v/>
      </c>
      <c r="G266" s="7" t="str">
        <f t="array" ref="G266">IFERROR(INDEX(Base_Estudiantes!$D$4:$D$505,MATCH(D266,Base_Estudiantes!$C$4:$C$505,0)),"")</f>
        <v/>
      </c>
      <c r="H266" s="7" t="str">
        <f t="array" ref="H266">IFERROR(INDEX(Base_Estudiantes!$F$4:$F$505,MATCH(D266,Base_Estudiantes!$C$4:$C$505,0)),"")</f>
        <v/>
      </c>
      <c r="I266" s="7" t="str">
        <f t="array" ref="I266">IFERROR(INDEX(Base_Estudiantes!$G$4:$G$505,MATCH(D266,Base_Estudiantes!$C$4:$C$505,0)),"")</f>
        <v/>
      </c>
      <c r="J266" s="7" t="str">
        <f t="array" ref="J266">IFERROR(INDEX(Base_Estudiantes!$H$4:$H$505,MATCH(D266,Base_Estudiantes!$C$4:$C$505,0)),"")</f>
        <v/>
      </c>
      <c r="K266" s="5"/>
      <c r="L266" s="5"/>
      <c r="M266" s="5"/>
      <c r="N266" s="5"/>
      <c r="O266" s="5"/>
      <c r="P266" s="5"/>
      <c r="Q266" s="5"/>
      <c r="R266" s="20"/>
      <c r="S266" s="5"/>
      <c r="T266" s="5"/>
    </row>
    <row r="267" spans="1:20" ht="15.75" customHeight="1">
      <c r="A267" s="19" t="str">
        <f t="shared" si="0"/>
        <v/>
      </c>
      <c r="B267" s="6"/>
      <c r="C267" s="20"/>
      <c r="D267" s="5"/>
      <c r="E267" s="7" t="str">
        <f t="array" ref="E267">IFERROR(INDEX(Base_Estudiantes!$A$4:$A$505,MATCH(D267,Base_Estudiantes!$C$4:$C$505,0)),"")</f>
        <v/>
      </c>
      <c r="F267" s="7" t="str">
        <f t="array" ref="F267">IFERROR(INDEX(Base_Estudiantes!$B$4:$B$505,MATCH(D267,Base_Estudiantes!$C$4:$C$505,0)),"")</f>
        <v/>
      </c>
      <c r="G267" s="7" t="str">
        <f t="array" ref="G267">IFERROR(INDEX(Base_Estudiantes!$D$4:$D$505,MATCH(D267,Base_Estudiantes!$C$4:$C$505,0)),"")</f>
        <v/>
      </c>
      <c r="H267" s="7" t="str">
        <f t="array" ref="H267">IFERROR(INDEX(Base_Estudiantes!$F$4:$F$505,MATCH(D267,Base_Estudiantes!$C$4:$C$505,0)),"")</f>
        <v/>
      </c>
      <c r="I267" s="7" t="str">
        <f t="array" ref="I267">IFERROR(INDEX(Base_Estudiantes!$G$4:$G$505,MATCH(D267,Base_Estudiantes!$C$4:$C$505,0)),"")</f>
        <v/>
      </c>
      <c r="J267" s="7" t="str">
        <f t="array" ref="J267">IFERROR(INDEX(Base_Estudiantes!$H$4:$H$505,MATCH(D267,Base_Estudiantes!$C$4:$C$505,0)),"")</f>
        <v/>
      </c>
      <c r="K267" s="5"/>
      <c r="L267" s="5"/>
      <c r="M267" s="5"/>
      <c r="N267" s="5"/>
      <c r="O267" s="5"/>
      <c r="P267" s="5"/>
      <c r="Q267" s="5"/>
      <c r="R267" s="20"/>
      <c r="S267" s="5"/>
      <c r="T267" s="5"/>
    </row>
    <row r="268" spans="1:20" ht="15.75" customHeight="1">
      <c r="A268" s="19" t="str">
        <f t="shared" si="0"/>
        <v/>
      </c>
      <c r="B268" s="6"/>
      <c r="C268" s="20"/>
      <c r="D268" s="5"/>
      <c r="E268" s="7" t="str">
        <f t="array" ref="E268">IFERROR(INDEX(Base_Estudiantes!$A$4:$A$505,MATCH(D268,Base_Estudiantes!$C$4:$C$505,0)),"")</f>
        <v/>
      </c>
      <c r="F268" s="7" t="str">
        <f t="array" ref="F268">IFERROR(INDEX(Base_Estudiantes!$B$4:$B$505,MATCH(D268,Base_Estudiantes!$C$4:$C$505,0)),"")</f>
        <v/>
      </c>
      <c r="G268" s="7" t="str">
        <f t="array" ref="G268">IFERROR(INDEX(Base_Estudiantes!$D$4:$D$505,MATCH(D268,Base_Estudiantes!$C$4:$C$505,0)),"")</f>
        <v/>
      </c>
      <c r="H268" s="7" t="str">
        <f t="array" ref="H268">IFERROR(INDEX(Base_Estudiantes!$F$4:$F$505,MATCH(D268,Base_Estudiantes!$C$4:$C$505,0)),"")</f>
        <v/>
      </c>
      <c r="I268" s="7" t="str">
        <f t="array" ref="I268">IFERROR(INDEX(Base_Estudiantes!$G$4:$G$505,MATCH(D268,Base_Estudiantes!$C$4:$C$505,0)),"")</f>
        <v/>
      </c>
      <c r="J268" s="7" t="str">
        <f t="array" ref="J268">IFERROR(INDEX(Base_Estudiantes!$H$4:$H$505,MATCH(D268,Base_Estudiantes!$C$4:$C$505,0)),"")</f>
        <v/>
      </c>
      <c r="K268" s="5"/>
      <c r="L268" s="5"/>
      <c r="M268" s="5"/>
      <c r="N268" s="5"/>
      <c r="O268" s="5"/>
      <c r="P268" s="5"/>
      <c r="Q268" s="5"/>
      <c r="R268" s="20"/>
      <c r="S268" s="5"/>
      <c r="T268" s="5"/>
    </row>
    <row r="269" spans="1:20" ht="15.75" customHeight="1">
      <c r="A269" s="19" t="str">
        <f t="shared" si="0"/>
        <v/>
      </c>
      <c r="B269" s="6"/>
      <c r="C269" s="20"/>
      <c r="D269" s="5"/>
      <c r="E269" s="7" t="str">
        <f t="array" ref="E269">IFERROR(INDEX(Base_Estudiantes!$A$4:$A$505,MATCH(D269,Base_Estudiantes!$C$4:$C$505,0)),"")</f>
        <v/>
      </c>
      <c r="F269" s="7" t="str">
        <f t="array" ref="F269">IFERROR(INDEX(Base_Estudiantes!$B$4:$B$505,MATCH(D269,Base_Estudiantes!$C$4:$C$505,0)),"")</f>
        <v/>
      </c>
      <c r="G269" s="7" t="str">
        <f t="array" ref="G269">IFERROR(INDEX(Base_Estudiantes!$D$4:$D$505,MATCH(D269,Base_Estudiantes!$C$4:$C$505,0)),"")</f>
        <v/>
      </c>
      <c r="H269" s="7" t="str">
        <f t="array" ref="H269">IFERROR(INDEX(Base_Estudiantes!$F$4:$F$505,MATCH(D269,Base_Estudiantes!$C$4:$C$505,0)),"")</f>
        <v/>
      </c>
      <c r="I269" s="7" t="str">
        <f t="array" ref="I269">IFERROR(INDEX(Base_Estudiantes!$G$4:$G$505,MATCH(D269,Base_Estudiantes!$C$4:$C$505,0)),"")</f>
        <v/>
      </c>
      <c r="J269" s="7" t="str">
        <f t="array" ref="J269">IFERROR(INDEX(Base_Estudiantes!$H$4:$H$505,MATCH(D269,Base_Estudiantes!$C$4:$C$505,0)),"")</f>
        <v/>
      </c>
      <c r="K269" s="5"/>
      <c r="L269" s="5"/>
      <c r="M269" s="5"/>
      <c r="N269" s="5"/>
      <c r="O269" s="5"/>
      <c r="P269" s="5"/>
      <c r="Q269" s="5"/>
      <c r="R269" s="20"/>
      <c r="S269" s="5"/>
      <c r="T269" s="5"/>
    </row>
    <row r="270" spans="1:20" ht="15.75" customHeight="1">
      <c r="A270" s="19" t="str">
        <f t="shared" si="0"/>
        <v/>
      </c>
      <c r="B270" s="6"/>
      <c r="C270" s="20"/>
      <c r="D270" s="5"/>
      <c r="E270" s="7" t="str">
        <f t="array" ref="E270">IFERROR(INDEX(Base_Estudiantes!$A$4:$A$505,MATCH(D270,Base_Estudiantes!$C$4:$C$505,0)),"")</f>
        <v/>
      </c>
      <c r="F270" s="7" t="str">
        <f t="array" ref="F270">IFERROR(INDEX(Base_Estudiantes!$B$4:$B$505,MATCH(D270,Base_Estudiantes!$C$4:$C$505,0)),"")</f>
        <v/>
      </c>
      <c r="G270" s="7" t="str">
        <f t="array" ref="G270">IFERROR(INDEX(Base_Estudiantes!$D$4:$D$505,MATCH(D270,Base_Estudiantes!$C$4:$C$505,0)),"")</f>
        <v/>
      </c>
      <c r="H270" s="7" t="str">
        <f t="array" ref="H270">IFERROR(INDEX(Base_Estudiantes!$F$4:$F$505,MATCH(D270,Base_Estudiantes!$C$4:$C$505,0)),"")</f>
        <v/>
      </c>
      <c r="I270" s="7" t="str">
        <f t="array" ref="I270">IFERROR(INDEX(Base_Estudiantes!$G$4:$G$505,MATCH(D270,Base_Estudiantes!$C$4:$C$505,0)),"")</f>
        <v/>
      </c>
      <c r="J270" s="7" t="str">
        <f t="array" ref="J270">IFERROR(INDEX(Base_Estudiantes!$H$4:$H$505,MATCH(D270,Base_Estudiantes!$C$4:$C$505,0)),"")</f>
        <v/>
      </c>
      <c r="K270" s="5"/>
      <c r="L270" s="5"/>
      <c r="M270" s="5"/>
      <c r="N270" s="5"/>
      <c r="O270" s="5"/>
      <c r="P270" s="5"/>
      <c r="Q270" s="5"/>
      <c r="R270" s="20"/>
      <c r="S270" s="5"/>
      <c r="T270" s="5"/>
    </row>
    <row r="271" spans="1:20" ht="15.75" customHeight="1">
      <c r="A271" s="19" t="str">
        <f t="shared" si="0"/>
        <v/>
      </c>
      <c r="B271" s="6"/>
      <c r="C271" s="20"/>
      <c r="D271" s="5"/>
      <c r="E271" s="7" t="str">
        <f t="array" ref="E271">IFERROR(INDEX(Base_Estudiantes!$A$4:$A$505,MATCH(D271,Base_Estudiantes!$C$4:$C$505,0)),"")</f>
        <v/>
      </c>
      <c r="F271" s="7" t="str">
        <f t="array" ref="F271">IFERROR(INDEX(Base_Estudiantes!$B$4:$B$505,MATCH(D271,Base_Estudiantes!$C$4:$C$505,0)),"")</f>
        <v/>
      </c>
      <c r="G271" s="7" t="str">
        <f t="array" ref="G271">IFERROR(INDEX(Base_Estudiantes!$D$4:$D$505,MATCH(D271,Base_Estudiantes!$C$4:$C$505,0)),"")</f>
        <v/>
      </c>
      <c r="H271" s="7" t="str">
        <f t="array" ref="H271">IFERROR(INDEX(Base_Estudiantes!$F$4:$F$505,MATCH(D271,Base_Estudiantes!$C$4:$C$505,0)),"")</f>
        <v/>
      </c>
      <c r="I271" s="7" t="str">
        <f t="array" ref="I271">IFERROR(INDEX(Base_Estudiantes!$G$4:$G$505,MATCH(D271,Base_Estudiantes!$C$4:$C$505,0)),"")</f>
        <v/>
      </c>
      <c r="J271" s="7" t="str">
        <f t="array" ref="J271">IFERROR(INDEX(Base_Estudiantes!$H$4:$H$505,MATCH(D271,Base_Estudiantes!$C$4:$C$505,0)),"")</f>
        <v/>
      </c>
      <c r="K271" s="5"/>
      <c r="L271" s="5"/>
      <c r="M271" s="5"/>
      <c r="N271" s="5"/>
      <c r="O271" s="5"/>
      <c r="P271" s="5"/>
      <c r="Q271" s="5"/>
      <c r="R271" s="20"/>
      <c r="S271" s="5"/>
      <c r="T271" s="5"/>
    </row>
    <row r="272" spans="1:20" ht="15.75" customHeight="1">
      <c r="A272" s="19" t="str">
        <f t="shared" si="0"/>
        <v/>
      </c>
      <c r="B272" s="6"/>
      <c r="C272" s="20"/>
      <c r="D272" s="5"/>
      <c r="E272" s="7" t="str">
        <f t="array" ref="E272">IFERROR(INDEX(Base_Estudiantes!$A$4:$A$505,MATCH(D272,Base_Estudiantes!$C$4:$C$505,0)),"")</f>
        <v/>
      </c>
      <c r="F272" s="7" t="str">
        <f t="array" ref="F272">IFERROR(INDEX(Base_Estudiantes!$B$4:$B$505,MATCH(D272,Base_Estudiantes!$C$4:$C$505,0)),"")</f>
        <v/>
      </c>
      <c r="G272" s="7" t="str">
        <f t="array" ref="G272">IFERROR(INDEX(Base_Estudiantes!$D$4:$D$505,MATCH(D272,Base_Estudiantes!$C$4:$C$505,0)),"")</f>
        <v/>
      </c>
      <c r="H272" s="7" t="str">
        <f t="array" ref="H272">IFERROR(INDEX(Base_Estudiantes!$F$4:$F$505,MATCH(D272,Base_Estudiantes!$C$4:$C$505,0)),"")</f>
        <v/>
      </c>
      <c r="I272" s="7" t="str">
        <f t="array" ref="I272">IFERROR(INDEX(Base_Estudiantes!$G$4:$G$505,MATCH(D272,Base_Estudiantes!$C$4:$C$505,0)),"")</f>
        <v/>
      </c>
      <c r="J272" s="7" t="str">
        <f t="array" ref="J272">IFERROR(INDEX(Base_Estudiantes!$H$4:$H$505,MATCH(D272,Base_Estudiantes!$C$4:$C$505,0)),"")</f>
        <v/>
      </c>
      <c r="K272" s="5"/>
      <c r="L272" s="5"/>
      <c r="M272" s="5"/>
      <c r="N272" s="5"/>
      <c r="O272" s="5"/>
      <c r="P272" s="5"/>
      <c r="Q272" s="5"/>
      <c r="R272" s="20"/>
      <c r="S272" s="5"/>
      <c r="T272" s="5"/>
    </row>
    <row r="273" spans="1:20" ht="15.75" customHeight="1">
      <c r="A273" s="19" t="str">
        <f t="shared" si="0"/>
        <v/>
      </c>
      <c r="B273" s="6"/>
      <c r="C273" s="20"/>
      <c r="D273" s="5"/>
      <c r="E273" s="7" t="str">
        <f t="array" ref="E273">IFERROR(INDEX(Base_Estudiantes!$A$4:$A$505,MATCH(D273,Base_Estudiantes!$C$4:$C$505,0)),"")</f>
        <v/>
      </c>
      <c r="F273" s="7" t="str">
        <f t="array" ref="F273">IFERROR(INDEX(Base_Estudiantes!$B$4:$B$505,MATCH(D273,Base_Estudiantes!$C$4:$C$505,0)),"")</f>
        <v/>
      </c>
      <c r="G273" s="7" t="str">
        <f t="array" ref="G273">IFERROR(INDEX(Base_Estudiantes!$D$4:$D$505,MATCH(D273,Base_Estudiantes!$C$4:$C$505,0)),"")</f>
        <v/>
      </c>
      <c r="H273" s="7" t="str">
        <f t="array" ref="H273">IFERROR(INDEX(Base_Estudiantes!$F$4:$F$505,MATCH(D273,Base_Estudiantes!$C$4:$C$505,0)),"")</f>
        <v/>
      </c>
      <c r="I273" s="7" t="str">
        <f t="array" ref="I273">IFERROR(INDEX(Base_Estudiantes!$G$4:$G$505,MATCH(D273,Base_Estudiantes!$C$4:$C$505,0)),"")</f>
        <v/>
      </c>
      <c r="J273" s="7" t="str">
        <f t="array" ref="J273">IFERROR(INDEX(Base_Estudiantes!$H$4:$H$505,MATCH(D273,Base_Estudiantes!$C$4:$C$505,0)),"")</f>
        <v/>
      </c>
      <c r="K273" s="5"/>
      <c r="L273" s="5"/>
      <c r="M273" s="5"/>
      <c r="N273" s="5"/>
      <c r="O273" s="5"/>
      <c r="P273" s="5"/>
      <c r="Q273" s="5"/>
      <c r="R273" s="20"/>
      <c r="S273" s="5"/>
      <c r="T273" s="5"/>
    </row>
    <row r="274" spans="1:20" ht="15.75" customHeight="1">
      <c r="A274" s="19" t="str">
        <f t="shared" si="0"/>
        <v/>
      </c>
      <c r="B274" s="6"/>
      <c r="C274" s="20"/>
      <c r="D274" s="5"/>
      <c r="E274" s="7" t="str">
        <f t="array" ref="E274">IFERROR(INDEX(Base_Estudiantes!$A$4:$A$505,MATCH(D274,Base_Estudiantes!$C$4:$C$505,0)),"")</f>
        <v/>
      </c>
      <c r="F274" s="7" t="str">
        <f t="array" ref="F274">IFERROR(INDEX(Base_Estudiantes!$B$4:$B$505,MATCH(D274,Base_Estudiantes!$C$4:$C$505,0)),"")</f>
        <v/>
      </c>
      <c r="G274" s="7" t="str">
        <f t="array" ref="G274">IFERROR(INDEX(Base_Estudiantes!$D$4:$D$505,MATCH(D274,Base_Estudiantes!$C$4:$C$505,0)),"")</f>
        <v/>
      </c>
      <c r="H274" s="7" t="str">
        <f t="array" ref="H274">IFERROR(INDEX(Base_Estudiantes!$F$4:$F$505,MATCH(D274,Base_Estudiantes!$C$4:$C$505,0)),"")</f>
        <v/>
      </c>
      <c r="I274" s="7" t="str">
        <f t="array" ref="I274">IFERROR(INDEX(Base_Estudiantes!$G$4:$G$505,MATCH(D274,Base_Estudiantes!$C$4:$C$505,0)),"")</f>
        <v/>
      </c>
      <c r="J274" s="7" t="str">
        <f t="array" ref="J274">IFERROR(INDEX(Base_Estudiantes!$H$4:$H$505,MATCH(D274,Base_Estudiantes!$C$4:$C$505,0)),"")</f>
        <v/>
      </c>
      <c r="K274" s="5"/>
      <c r="L274" s="5"/>
      <c r="M274" s="5"/>
      <c r="N274" s="5"/>
      <c r="O274" s="5"/>
      <c r="P274" s="5"/>
      <c r="Q274" s="5"/>
      <c r="R274" s="20"/>
      <c r="S274" s="5"/>
      <c r="T274" s="5"/>
    </row>
    <row r="275" spans="1:20" ht="15.75" customHeight="1">
      <c r="A275" s="19" t="str">
        <f t="shared" si="0"/>
        <v/>
      </c>
      <c r="B275" s="6"/>
      <c r="C275" s="20"/>
      <c r="D275" s="5"/>
      <c r="E275" s="7" t="str">
        <f t="array" ref="E275">IFERROR(INDEX(Base_Estudiantes!$A$4:$A$505,MATCH(D275,Base_Estudiantes!$C$4:$C$505,0)),"")</f>
        <v/>
      </c>
      <c r="F275" s="7" t="str">
        <f t="array" ref="F275">IFERROR(INDEX(Base_Estudiantes!$B$4:$B$505,MATCH(D275,Base_Estudiantes!$C$4:$C$505,0)),"")</f>
        <v/>
      </c>
      <c r="G275" s="7" t="str">
        <f t="array" ref="G275">IFERROR(INDEX(Base_Estudiantes!$D$4:$D$505,MATCH(D275,Base_Estudiantes!$C$4:$C$505,0)),"")</f>
        <v/>
      </c>
      <c r="H275" s="7" t="str">
        <f t="array" ref="H275">IFERROR(INDEX(Base_Estudiantes!$F$4:$F$505,MATCH(D275,Base_Estudiantes!$C$4:$C$505,0)),"")</f>
        <v/>
      </c>
      <c r="I275" s="7" t="str">
        <f t="array" ref="I275">IFERROR(INDEX(Base_Estudiantes!$G$4:$G$505,MATCH(D275,Base_Estudiantes!$C$4:$C$505,0)),"")</f>
        <v/>
      </c>
      <c r="J275" s="7" t="str">
        <f t="array" ref="J275">IFERROR(INDEX(Base_Estudiantes!$H$4:$H$505,MATCH(D275,Base_Estudiantes!$C$4:$C$505,0)),"")</f>
        <v/>
      </c>
      <c r="K275" s="5"/>
      <c r="L275" s="5"/>
      <c r="M275" s="5"/>
      <c r="N275" s="5"/>
      <c r="O275" s="5"/>
      <c r="P275" s="5"/>
      <c r="Q275" s="5"/>
      <c r="R275" s="20"/>
      <c r="S275" s="5"/>
      <c r="T275" s="5"/>
    </row>
    <row r="276" spans="1:20" ht="15.75" customHeight="1">
      <c r="A276" s="19" t="str">
        <f t="shared" si="0"/>
        <v/>
      </c>
      <c r="B276" s="6"/>
      <c r="C276" s="20"/>
      <c r="D276" s="5"/>
      <c r="E276" s="7" t="str">
        <f t="array" ref="E276">IFERROR(INDEX(Base_Estudiantes!$A$4:$A$505,MATCH(D276,Base_Estudiantes!$C$4:$C$505,0)),"")</f>
        <v/>
      </c>
      <c r="F276" s="7" t="str">
        <f t="array" ref="F276">IFERROR(INDEX(Base_Estudiantes!$B$4:$B$505,MATCH(D276,Base_Estudiantes!$C$4:$C$505,0)),"")</f>
        <v/>
      </c>
      <c r="G276" s="7" t="str">
        <f t="array" ref="G276">IFERROR(INDEX(Base_Estudiantes!$D$4:$D$505,MATCH(D276,Base_Estudiantes!$C$4:$C$505,0)),"")</f>
        <v/>
      </c>
      <c r="H276" s="7" t="str">
        <f t="array" ref="H276">IFERROR(INDEX(Base_Estudiantes!$F$4:$F$505,MATCH(D276,Base_Estudiantes!$C$4:$C$505,0)),"")</f>
        <v/>
      </c>
      <c r="I276" s="7" t="str">
        <f t="array" ref="I276">IFERROR(INDEX(Base_Estudiantes!$G$4:$G$505,MATCH(D276,Base_Estudiantes!$C$4:$C$505,0)),"")</f>
        <v/>
      </c>
      <c r="J276" s="7" t="str">
        <f t="array" ref="J276">IFERROR(INDEX(Base_Estudiantes!$H$4:$H$505,MATCH(D276,Base_Estudiantes!$C$4:$C$505,0)),"")</f>
        <v/>
      </c>
      <c r="K276" s="5"/>
      <c r="L276" s="5"/>
      <c r="M276" s="5"/>
      <c r="N276" s="5"/>
      <c r="O276" s="5"/>
      <c r="P276" s="5"/>
      <c r="Q276" s="5"/>
      <c r="R276" s="20"/>
      <c r="S276" s="5"/>
      <c r="T276" s="5"/>
    </row>
    <row r="277" spans="1:20" ht="15.75" customHeight="1">
      <c r="A277" s="19" t="str">
        <f t="shared" si="0"/>
        <v/>
      </c>
      <c r="B277" s="6"/>
      <c r="C277" s="20"/>
      <c r="D277" s="5"/>
      <c r="E277" s="7" t="str">
        <f t="array" ref="E277">IFERROR(INDEX(Base_Estudiantes!$A$4:$A$505,MATCH(D277,Base_Estudiantes!$C$4:$C$505,0)),"")</f>
        <v/>
      </c>
      <c r="F277" s="7" t="str">
        <f t="array" ref="F277">IFERROR(INDEX(Base_Estudiantes!$B$4:$B$505,MATCH(D277,Base_Estudiantes!$C$4:$C$505,0)),"")</f>
        <v/>
      </c>
      <c r="G277" s="7" t="str">
        <f t="array" ref="G277">IFERROR(INDEX(Base_Estudiantes!$D$4:$D$505,MATCH(D277,Base_Estudiantes!$C$4:$C$505,0)),"")</f>
        <v/>
      </c>
      <c r="H277" s="7" t="str">
        <f t="array" ref="H277">IFERROR(INDEX(Base_Estudiantes!$F$4:$F$505,MATCH(D277,Base_Estudiantes!$C$4:$C$505,0)),"")</f>
        <v/>
      </c>
      <c r="I277" s="7" t="str">
        <f t="array" ref="I277">IFERROR(INDEX(Base_Estudiantes!$G$4:$G$505,MATCH(D277,Base_Estudiantes!$C$4:$C$505,0)),"")</f>
        <v/>
      </c>
      <c r="J277" s="7" t="str">
        <f t="array" ref="J277">IFERROR(INDEX(Base_Estudiantes!$H$4:$H$505,MATCH(D277,Base_Estudiantes!$C$4:$C$505,0)),"")</f>
        <v/>
      </c>
      <c r="K277" s="5"/>
      <c r="L277" s="5"/>
      <c r="M277" s="5"/>
      <c r="N277" s="5"/>
      <c r="O277" s="5"/>
      <c r="P277" s="5"/>
      <c r="Q277" s="5"/>
      <c r="R277" s="20"/>
      <c r="S277" s="5"/>
      <c r="T277" s="5"/>
    </row>
    <row r="278" spans="1:20" ht="15.75" customHeight="1">
      <c r="A278" s="19" t="str">
        <f t="shared" si="0"/>
        <v/>
      </c>
      <c r="B278" s="6"/>
      <c r="C278" s="20"/>
      <c r="D278" s="5"/>
      <c r="E278" s="7" t="str">
        <f t="array" ref="E278">IFERROR(INDEX(Base_Estudiantes!$A$4:$A$505,MATCH(D278,Base_Estudiantes!$C$4:$C$505,0)),"")</f>
        <v/>
      </c>
      <c r="F278" s="7" t="str">
        <f t="array" ref="F278">IFERROR(INDEX(Base_Estudiantes!$B$4:$B$505,MATCH(D278,Base_Estudiantes!$C$4:$C$505,0)),"")</f>
        <v/>
      </c>
      <c r="G278" s="7" t="str">
        <f t="array" ref="G278">IFERROR(INDEX(Base_Estudiantes!$D$4:$D$505,MATCH(D278,Base_Estudiantes!$C$4:$C$505,0)),"")</f>
        <v/>
      </c>
      <c r="H278" s="7" t="str">
        <f t="array" ref="H278">IFERROR(INDEX(Base_Estudiantes!$F$4:$F$505,MATCH(D278,Base_Estudiantes!$C$4:$C$505,0)),"")</f>
        <v/>
      </c>
      <c r="I278" s="7" t="str">
        <f t="array" ref="I278">IFERROR(INDEX(Base_Estudiantes!$G$4:$G$505,MATCH(D278,Base_Estudiantes!$C$4:$C$505,0)),"")</f>
        <v/>
      </c>
      <c r="J278" s="7" t="str">
        <f t="array" ref="J278">IFERROR(INDEX(Base_Estudiantes!$H$4:$H$505,MATCH(D278,Base_Estudiantes!$C$4:$C$505,0)),"")</f>
        <v/>
      </c>
      <c r="K278" s="5"/>
      <c r="L278" s="5"/>
      <c r="M278" s="5"/>
      <c r="N278" s="5"/>
      <c r="O278" s="5"/>
      <c r="P278" s="5"/>
      <c r="Q278" s="5"/>
      <c r="R278" s="20"/>
      <c r="S278" s="5"/>
      <c r="T278" s="5"/>
    </row>
    <row r="279" spans="1:20" ht="15.75" customHeight="1">
      <c r="A279" s="19" t="str">
        <f t="shared" si="0"/>
        <v/>
      </c>
      <c r="B279" s="6"/>
      <c r="C279" s="20"/>
      <c r="D279" s="5"/>
      <c r="E279" s="7" t="str">
        <f t="array" ref="E279">IFERROR(INDEX(Base_Estudiantes!$A$4:$A$505,MATCH(D279,Base_Estudiantes!$C$4:$C$505,0)),"")</f>
        <v/>
      </c>
      <c r="F279" s="7" t="str">
        <f t="array" ref="F279">IFERROR(INDEX(Base_Estudiantes!$B$4:$B$505,MATCH(D279,Base_Estudiantes!$C$4:$C$505,0)),"")</f>
        <v/>
      </c>
      <c r="G279" s="7" t="str">
        <f t="array" ref="G279">IFERROR(INDEX(Base_Estudiantes!$D$4:$D$505,MATCH(D279,Base_Estudiantes!$C$4:$C$505,0)),"")</f>
        <v/>
      </c>
      <c r="H279" s="7" t="str">
        <f t="array" ref="H279">IFERROR(INDEX(Base_Estudiantes!$F$4:$F$505,MATCH(D279,Base_Estudiantes!$C$4:$C$505,0)),"")</f>
        <v/>
      </c>
      <c r="I279" s="7" t="str">
        <f t="array" ref="I279">IFERROR(INDEX(Base_Estudiantes!$G$4:$G$505,MATCH(D279,Base_Estudiantes!$C$4:$C$505,0)),"")</f>
        <v/>
      </c>
      <c r="J279" s="7" t="str">
        <f t="array" ref="J279">IFERROR(INDEX(Base_Estudiantes!$H$4:$H$505,MATCH(D279,Base_Estudiantes!$C$4:$C$505,0)),"")</f>
        <v/>
      </c>
      <c r="K279" s="5"/>
      <c r="L279" s="5"/>
      <c r="M279" s="5"/>
      <c r="N279" s="5"/>
      <c r="O279" s="5"/>
      <c r="P279" s="5"/>
      <c r="Q279" s="5"/>
      <c r="R279" s="20"/>
      <c r="S279" s="5"/>
      <c r="T279" s="5"/>
    </row>
    <row r="280" spans="1:20" ht="15.75" customHeight="1">
      <c r="A280" s="19" t="str">
        <f t="shared" si="0"/>
        <v/>
      </c>
      <c r="B280" s="6"/>
      <c r="C280" s="20"/>
      <c r="D280" s="5"/>
      <c r="E280" s="7" t="str">
        <f t="array" ref="E280">IFERROR(INDEX(Base_Estudiantes!$A$4:$A$505,MATCH(D280,Base_Estudiantes!$C$4:$C$505,0)),"")</f>
        <v/>
      </c>
      <c r="F280" s="7" t="str">
        <f t="array" ref="F280">IFERROR(INDEX(Base_Estudiantes!$B$4:$B$505,MATCH(D280,Base_Estudiantes!$C$4:$C$505,0)),"")</f>
        <v/>
      </c>
      <c r="G280" s="7" t="str">
        <f t="array" ref="G280">IFERROR(INDEX(Base_Estudiantes!$D$4:$D$505,MATCH(D280,Base_Estudiantes!$C$4:$C$505,0)),"")</f>
        <v/>
      </c>
      <c r="H280" s="7" t="str">
        <f t="array" ref="H280">IFERROR(INDEX(Base_Estudiantes!$F$4:$F$505,MATCH(D280,Base_Estudiantes!$C$4:$C$505,0)),"")</f>
        <v/>
      </c>
      <c r="I280" s="7" t="str">
        <f t="array" ref="I280">IFERROR(INDEX(Base_Estudiantes!$G$4:$G$505,MATCH(D280,Base_Estudiantes!$C$4:$C$505,0)),"")</f>
        <v/>
      </c>
      <c r="J280" s="7" t="str">
        <f t="array" ref="J280">IFERROR(INDEX(Base_Estudiantes!$H$4:$H$505,MATCH(D280,Base_Estudiantes!$C$4:$C$505,0)),"")</f>
        <v/>
      </c>
      <c r="K280" s="5"/>
      <c r="L280" s="5"/>
      <c r="M280" s="5"/>
      <c r="N280" s="5"/>
      <c r="O280" s="5"/>
      <c r="P280" s="5"/>
      <c r="Q280" s="5"/>
      <c r="R280" s="20"/>
      <c r="S280" s="5"/>
      <c r="T280" s="5"/>
    </row>
    <row r="281" spans="1:20" ht="15.75" customHeight="1">
      <c r="A281" s="19" t="str">
        <f t="shared" si="0"/>
        <v/>
      </c>
      <c r="B281" s="6"/>
      <c r="C281" s="20"/>
      <c r="D281" s="5"/>
      <c r="E281" s="7" t="str">
        <f t="array" ref="E281">IFERROR(INDEX(Base_Estudiantes!$A$4:$A$505,MATCH(D281,Base_Estudiantes!$C$4:$C$505,0)),"")</f>
        <v/>
      </c>
      <c r="F281" s="7" t="str">
        <f t="array" ref="F281">IFERROR(INDEX(Base_Estudiantes!$B$4:$B$505,MATCH(D281,Base_Estudiantes!$C$4:$C$505,0)),"")</f>
        <v/>
      </c>
      <c r="G281" s="7" t="str">
        <f t="array" ref="G281">IFERROR(INDEX(Base_Estudiantes!$D$4:$D$505,MATCH(D281,Base_Estudiantes!$C$4:$C$505,0)),"")</f>
        <v/>
      </c>
      <c r="H281" s="7" t="str">
        <f t="array" ref="H281">IFERROR(INDEX(Base_Estudiantes!$F$4:$F$505,MATCH(D281,Base_Estudiantes!$C$4:$C$505,0)),"")</f>
        <v/>
      </c>
      <c r="I281" s="7" t="str">
        <f t="array" ref="I281">IFERROR(INDEX(Base_Estudiantes!$G$4:$G$505,MATCH(D281,Base_Estudiantes!$C$4:$C$505,0)),"")</f>
        <v/>
      </c>
      <c r="J281" s="7" t="str">
        <f t="array" ref="J281">IFERROR(INDEX(Base_Estudiantes!$H$4:$H$505,MATCH(D281,Base_Estudiantes!$C$4:$C$505,0)),"")</f>
        <v/>
      </c>
      <c r="K281" s="5"/>
      <c r="L281" s="5"/>
      <c r="M281" s="5"/>
      <c r="N281" s="5"/>
      <c r="O281" s="5"/>
      <c r="P281" s="5"/>
      <c r="Q281" s="5"/>
      <c r="R281" s="20"/>
      <c r="S281" s="5"/>
      <c r="T281" s="5"/>
    </row>
    <row r="282" spans="1:20" ht="15.75" customHeight="1">
      <c r="A282" s="19" t="str">
        <f t="shared" si="0"/>
        <v/>
      </c>
      <c r="B282" s="6"/>
      <c r="C282" s="20"/>
      <c r="D282" s="5"/>
      <c r="E282" s="7" t="str">
        <f t="array" ref="E282">IFERROR(INDEX(Base_Estudiantes!$A$4:$A$505,MATCH(D282,Base_Estudiantes!$C$4:$C$505,0)),"")</f>
        <v/>
      </c>
      <c r="F282" s="7" t="str">
        <f t="array" ref="F282">IFERROR(INDEX(Base_Estudiantes!$B$4:$B$505,MATCH(D282,Base_Estudiantes!$C$4:$C$505,0)),"")</f>
        <v/>
      </c>
      <c r="G282" s="7" t="str">
        <f t="array" ref="G282">IFERROR(INDEX(Base_Estudiantes!$D$4:$D$505,MATCH(D282,Base_Estudiantes!$C$4:$C$505,0)),"")</f>
        <v/>
      </c>
      <c r="H282" s="7" t="str">
        <f t="array" ref="H282">IFERROR(INDEX(Base_Estudiantes!$F$4:$F$505,MATCH(D282,Base_Estudiantes!$C$4:$C$505,0)),"")</f>
        <v/>
      </c>
      <c r="I282" s="7" t="str">
        <f t="array" ref="I282">IFERROR(INDEX(Base_Estudiantes!$G$4:$G$505,MATCH(D282,Base_Estudiantes!$C$4:$C$505,0)),"")</f>
        <v/>
      </c>
      <c r="J282" s="7" t="str">
        <f t="array" ref="J282">IFERROR(INDEX(Base_Estudiantes!$H$4:$H$505,MATCH(D282,Base_Estudiantes!$C$4:$C$505,0)),"")</f>
        <v/>
      </c>
      <c r="K282" s="5"/>
      <c r="L282" s="5"/>
      <c r="M282" s="5"/>
      <c r="N282" s="5"/>
      <c r="O282" s="5"/>
      <c r="P282" s="5"/>
      <c r="Q282" s="5"/>
      <c r="R282" s="20"/>
      <c r="S282" s="5"/>
      <c r="T282" s="5"/>
    </row>
    <row r="283" spans="1:20" ht="15.75" customHeight="1">
      <c r="A283" s="19" t="str">
        <f t="shared" si="0"/>
        <v/>
      </c>
      <c r="B283" s="6"/>
      <c r="C283" s="20"/>
      <c r="D283" s="5"/>
      <c r="E283" s="7" t="str">
        <f t="array" ref="E283">IFERROR(INDEX(Base_Estudiantes!$A$4:$A$505,MATCH(D283,Base_Estudiantes!$C$4:$C$505,0)),"")</f>
        <v/>
      </c>
      <c r="F283" s="7" t="str">
        <f t="array" ref="F283">IFERROR(INDEX(Base_Estudiantes!$B$4:$B$505,MATCH(D283,Base_Estudiantes!$C$4:$C$505,0)),"")</f>
        <v/>
      </c>
      <c r="G283" s="7" t="str">
        <f t="array" ref="G283">IFERROR(INDEX(Base_Estudiantes!$D$4:$D$505,MATCH(D283,Base_Estudiantes!$C$4:$C$505,0)),"")</f>
        <v/>
      </c>
      <c r="H283" s="7" t="str">
        <f t="array" ref="H283">IFERROR(INDEX(Base_Estudiantes!$F$4:$F$505,MATCH(D283,Base_Estudiantes!$C$4:$C$505,0)),"")</f>
        <v/>
      </c>
      <c r="I283" s="7" t="str">
        <f t="array" ref="I283">IFERROR(INDEX(Base_Estudiantes!$G$4:$G$505,MATCH(D283,Base_Estudiantes!$C$4:$C$505,0)),"")</f>
        <v/>
      </c>
      <c r="J283" s="7" t="str">
        <f t="array" ref="J283">IFERROR(INDEX(Base_Estudiantes!$H$4:$H$505,MATCH(D283,Base_Estudiantes!$C$4:$C$505,0)),"")</f>
        <v/>
      </c>
      <c r="K283" s="5"/>
      <c r="L283" s="5"/>
      <c r="M283" s="5"/>
      <c r="N283" s="5"/>
      <c r="O283" s="5"/>
      <c r="P283" s="5"/>
      <c r="Q283" s="5"/>
      <c r="R283" s="20"/>
      <c r="S283" s="5"/>
      <c r="T283" s="5"/>
    </row>
    <row r="284" spans="1:20" ht="15.75" customHeight="1">
      <c r="A284" s="19" t="str">
        <f t="shared" si="0"/>
        <v/>
      </c>
      <c r="B284" s="6"/>
      <c r="C284" s="20"/>
      <c r="D284" s="5"/>
      <c r="E284" s="7" t="str">
        <f t="array" ref="E284">IFERROR(INDEX(Base_Estudiantes!$A$4:$A$505,MATCH(D284,Base_Estudiantes!$C$4:$C$505,0)),"")</f>
        <v/>
      </c>
      <c r="F284" s="7" t="str">
        <f t="array" ref="F284">IFERROR(INDEX(Base_Estudiantes!$B$4:$B$505,MATCH(D284,Base_Estudiantes!$C$4:$C$505,0)),"")</f>
        <v/>
      </c>
      <c r="G284" s="7" t="str">
        <f t="array" ref="G284">IFERROR(INDEX(Base_Estudiantes!$D$4:$D$505,MATCH(D284,Base_Estudiantes!$C$4:$C$505,0)),"")</f>
        <v/>
      </c>
      <c r="H284" s="7" t="str">
        <f t="array" ref="H284">IFERROR(INDEX(Base_Estudiantes!$F$4:$F$505,MATCH(D284,Base_Estudiantes!$C$4:$C$505,0)),"")</f>
        <v/>
      </c>
      <c r="I284" s="7" t="str">
        <f t="array" ref="I284">IFERROR(INDEX(Base_Estudiantes!$G$4:$G$505,MATCH(D284,Base_Estudiantes!$C$4:$C$505,0)),"")</f>
        <v/>
      </c>
      <c r="J284" s="7" t="str">
        <f t="array" ref="J284">IFERROR(INDEX(Base_Estudiantes!$H$4:$H$505,MATCH(D284,Base_Estudiantes!$C$4:$C$505,0)),"")</f>
        <v/>
      </c>
      <c r="K284" s="5"/>
      <c r="L284" s="5"/>
      <c r="M284" s="5"/>
      <c r="N284" s="5"/>
      <c r="O284" s="5"/>
      <c r="P284" s="5"/>
      <c r="Q284" s="5"/>
      <c r="R284" s="20"/>
      <c r="S284" s="5"/>
      <c r="T284" s="5"/>
    </row>
    <row r="285" spans="1:20" ht="15.75" customHeight="1">
      <c r="A285" s="19" t="str">
        <f t="shared" si="0"/>
        <v/>
      </c>
      <c r="B285" s="6"/>
      <c r="C285" s="20"/>
      <c r="D285" s="5"/>
      <c r="E285" s="7" t="str">
        <f t="array" ref="E285">IFERROR(INDEX(Base_Estudiantes!$A$4:$A$505,MATCH(D285,Base_Estudiantes!$C$4:$C$505,0)),"")</f>
        <v/>
      </c>
      <c r="F285" s="7" t="str">
        <f t="array" ref="F285">IFERROR(INDEX(Base_Estudiantes!$B$4:$B$505,MATCH(D285,Base_Estudiantes!$C$4:$C$505,0)),"")</f>
        <v/>
      </c>
      <c r="G285" s="7" t="str">
        <f t="array" ref="G285">IFERROR(INDEX(Base_Estudiantes!$D$4:$D$505,MATCH(D285,Base_Estudiantes!$C$4:$C$505,0)),"")</f>
        <v/>
      </c>
      <c r="H285" s="7" t="str">
        <f t="array" ref="H285">IFERROR(INDEX(Base_Estudiantes!$F$4:$F$505,MATCH(D285,Base_Estudiantes!$C$4:$C$505,0)),"")</f>
        <v/>
      </c>
      <c r="I285" s="7" t="str">
        <f t="array" ref="I285">IFERROR(INDEX(Base_Estudiantes!$G$4:$G$505,MATCH(D285,Base_Estudiantes!$C$4:$C$505,0)),"")</f>
        <v/>
      </c>
      <c r="J285" s="7" t="str">
        <f t="array" ref="J285">IFERROR(INDEX(Base_Estudiantes!$H$4:$H$505,MATCH(D285,Base_Estudiantes!$C$4:$C$505,0)),"")</f>
        <v/>
      </c>
      <c r="K285" s="5"/>
      <c r="L285" s="5"/>
      <c r="M285" s="5"/>
      <c r="N285" s="5"/>
      <c r="O285" s="5"/>
      <c r="P285" s="5"/>
      <c r="Q285" s="5"/>
      <c r="R285" s="20"/>
      <c r="S285" s="5"/>
      <c r="T285" s="5"/>
    </row>
    <row r="286" spans="1:20" ht="15.75" customHeight="1">
      <c r="A286" s="19" t="str">
        <f t="shared" si="0"/>
        <v/>
      </c>
      <c r="B286" s="6"/>
      <c r="C286" s="20"/>
      <c r="D286" s="5"/>
      <c r="E286" s="7" t="str">
        <f t="array" ref="E286">IFERROR(INDEX(Base_Estudiantes!$A$4:$A$505,MATCH(D286,Base_Estudiantes!$C$4:$C$505,0)),"")</f>
        <v/>
      </c>
      <c r="F286" s="7" t="str">
        <f t="array" ref="F286">IFERROR(INDEX(Base_Estudiantes!$B$4:$B$505,MATCH(D286,Base_Estudiantes!$C$4:$C$505,0)),"")</f>
        <v/>
      </c>
      <c r="G286" s="7" t="str">
        <f t="array" ref="G286">IFERROR(INDEX(Base_Estudiantes!$D$4:$D$505,MATCH(D286,Base_Estudiantes!$C$4:$C$505,0)),"")</f>
        <v/>
      </c>
      <c r="H286" s="7" t="str">
        <f t="array" ref="H286">IFERROR(INDEX(Base_Estudiantes!$F$4:$F$505,MATCH(D286,Base_Estudiantes!$C$4:$C$505,0)),"")</f>
        <v/>
      </c>
      <c r="I286" s="7" t="str">
        <f t="array" ref="I286">IFERROR(INDEX(Base_Estudiantes!$G$4:$G$505,MATCH(D286,Base_Estudiantes!$C$4:$C$505,0)),"")</f>
        <v/>
      </c>
      <c r="J286" s="7" t="str">
        <f t="array" ref="J286">IFERROR(INDEX(Base_Estudiantes!$H$4:$H$505,MATCH(D286,Base_Estudiantes!$C$4:$C$505,0)),"")</f>
        <v/>
      </c>
      <c r="K286" s="5"/>
      <c r="L286" s="5"/>
      <c r="M286" s="5"/>
      <c r="N286" s="5"/>
      <c r="O286" s="5"/>
      <c r="P286" s="5"/>
      <c r="Q286" s="5"/>
      <c r="R286" s="20"/>
      <c r="S286" s="5"/>
      <c r="T286" s="5"/>
    </row>
    <row r="287" spans="1:20" ht="15.75" customHeight="1">
      <c r="A287" s="19" t="str">
        <f t="shared" si="0"/>
        <v/>
      </c>
      <c r="B287" s="6"/>
      <c r="C287" s="20"/>
      <c r="D287" s="5"/>
      <c r="E287" s="7" t="str">
        <f t="array" ref="E287">IFERROR(INDEX(Base_Estudiantes!$A$4:$A$505,MATCH(D287,Base_Estudiantes!$C$4:$C$505,0)),"")</f>
        <v/>
      </c>
      <c r="F287" s="7" t="str">
        <f t="array" ref="F287">IFERROR(INDEX(Base_Estudiantes!$B$4:$B$505,MATCH(D287,Base_Estudiantes!$C$4:$C$505,0)),"")</f>
        <v/>
      </c>
      <c r="G287" s="7" t="str">
        <f t="array" ref="G287">IFERROR(INDEX(Base_Estudiantes!$D$4:$D$505,MATCH(D287,Base_Estudiantes!$C$4:$C$505,0)),"")</f>
        <v/>
      </c>
      <c r="H287" s="7" t="str">
        <f t="array" ref="H287">IFERROR(INDEX(Base_Estudiantes!$F$4:$F$505,MATCH(D287,Base_Estudiantes!$C$4:$C$505,0)),"")</f>
        <v/>
      </c>
      <c r="I287" s="7" t="str">
        <f t="array" ref="I287">IFERROR(INDEX(Base_Estudiantes!$G$4:$G$505,MATCH(D287,Base_Estudiantes!$C$4:$C$505,0)),"")</f>
        <v/>
      </c>
      <c r="J287" s="7" t="str">
        <f t="array" ref="J287">IFERROR(INDEX(Base_Estudiantes!$H$4:$H$505,MATCH(D287,Base_Estudiantes!$C$4:$C$505,0)),"")</f>
        <v/>
      </c>
      <c r="K287" s="5"/>
      <c r="L287" s="5"/>
      <c r="M287" s="5"/>
      <c r="N287" s="5"/>
      <c r="O287" s="5"/>
      <c r="P287" s="5"/>
      <c r="Q287" s="5"/>
      <c r="R287" s="20"/>
      <c r="S287" s="5"/>
      <c r="T287" s="5"/>
    </row>
    <row r="288" spans="1:20" ht="15.75" customHeight="1">
      <c r="A288" s="19" t="str">
        <f t="shared" si="0"/>
        <v/>
      </c>
      <c r="B288" s="6"/>
      <c r="C288" s="20"/>
      <c r="D288" s="5"/>
      <c r="E288" s="7" t="str">
        <f t="array" ref="E288">IFERROR(INDEX(Base_Estudiantes!$A$4:$A$505,MATCH(D288,Base_Estudiantes!$C$4:$C$505,0)),"")</f>
        <v/>
      </c>
      <c r="F288" s="7" t="str">
        <f t="array" ref="F288">IFERROR(INDEX(Base_Estudiantes!$B$4:$B$505,MATCH(D288,Base_Estudiantes!$C$4:$C$505,0)),"")</f>
        <v/>
      </c>
      <c r="G288" s="7" t="str">
        <f t="array" ref="G288">IFERROR(INDEX(Base_Estudiantes!$D$4:$D$505,MATCH(D288,Base_Estudiantes!$C$4:$C$505,0)),"")</f>
        <v/>
      </c>
      <c r="H288" s="7" t="str">
        <f t="array" ref="H288">IFERROR(INDEX(Base_Estudiantes!$F$4:$F$505,MATCH(D288,Base_Estudiantes!$C$4:$C$505,0)),"")</f>
        <v/>
      </c>
      <c r="I288" s="7" t="str">
        <f t="array" ref="I288">IFERROR(INDEX(Base_Estudiantes!$G$4:$G$505,MATCH(D288,Base_Estudiantes!$C$4:$C$505,0)),"")</f>
        <v/>
      </c>
      <c r="J288" s="7" t="str">
        <f t="array" ref="J288">IFERROR(INDEX(Base_Estudiantes!$H$4:$H$505,MATCH(D288,Base_Estudiantes!$C$4:$C$505,0)),"")</f>
        <v/>
      </c>
      <c r="K288" s="5"/>
      <c r="L288" s="5"/>
      <c r="M288" s="5"/>
      <c r="N288" s="5"/>
      <c r="O288" s="5"/>
      <c r="P288" s="5"/>
      <c r="Q288" s="5"/>
      <c r="R288" s="20"/>
      <c r="S288" s="5"/>
      <c r="T288" s="5"/>
    </row>
    <row r="289" spans="1:20" ht="15.75" customHeight="1">
      <c r="A289" s="19" t="str">
        <f t="shared" si="0"/>
        <v/>
      </c>
      <c r="B289" s="6"/>
      <c r="C289" s="20"/>
      <c r="D289" s="5"/>
      <c r="E289" s="7" t="str">
        <f t="array" ref="E289">IFERROR(INDEX(Base_Estudiantes!$A$4:$A$505,MATCH(D289,Base_Estudiantes!$C$4:$C$505,0)),"")</f>
        <v/>
      </c>
      <c r="F289" s="7" t="str">
        <f t="array" ref="F289">IFERROR(INDEX(Base_Estudiantes!$B$4:$B$505,MATCH(D289,Base_Estudiantes!$C$4:$C$505,0)),"")</f>
        <v/>
      </c>
      <c r="G289" s="7" t="str">
        <f t="array" ref="G289">IFERROR(INDEX(Base_Estudiantes!$D$4:$D$505,MATCH(D289,Base_Estudiantes!$C$4:$C$505,0)),"")</f>
        <v/>
      </c>
      <c r="H289" s="7" t="str">
        <f t="array" ref="H289">IFERROR(INDEX(Base_Estudiantes!$F$4:$F$505,MATCH(D289,Base_Estudiantes!$C$4:$C$505,0)),"")</f>
        <v/>
      </c>
      <c r="I289" s="7" t="str">
        <f t="array" ref="I289">IFERROR(INDEX(Base_Estudiantes!$G$4:$G$505,MATCH(D289,Base_Estudiantes!$C$4:$C$505,0)),"")</f>
        <v/>
      </c>
      <c r="J289" s="7" t="str">
        <f t="array" ref="J289">IFERROR(INDEX(Base_Estudiantes!$H$4:$H$505,MATCH(D289,Base_Estudiantes!$C$4:$C$505,0)),"")</f>
        <v/>
      </c>
      <c r="K289" s="5"/>
      <c r="L289" s="5"/>
      <c r="M289" s="5"/>
      <c r="N289" s="5"/>
      <c r="O289" s="5"/>
      <c r="P289" s="5"/>
      <c r="Q289" s="5"/>
      <c r="R289" s="20"/>
      <c r="S289" s="5"/>
      <c r="T289" s="5"/>
    </row>
    <row r="290" spans="1:20" ht="15.75" customHeight="1">
      <c r="A290" s="19" t="str">
        <f t="shared" si="0"/>
        <v/>
      </c>
      <c r="B290" s="6"/>
      <c r="C290" s="20"/>
      <c r="D290" s="5"/>
      <c r="E290" s="7" t="str">
        <f t="array" ref="E290">IFERROR(INDEX(Base_Estudiantes!$A$4:$A$505,MATCH(D290,Base_Estudiantes!$C$4:$C$505,0)),"")</f>
        <v/>
      </c>
      <c r="F290" s="7" t="str">
        <f t="array" ref="F290">IFERROR(INDEX(Base_Estudiantes!$B$4:$B$505,MATCH(D290,Base_Estudiantes!$C$4:$C$505,0)),"")</f>
        <v/>
      </c>
      <c r="G290" s="7" t="str">
        <f t="array" ref="G290">IFERROR(INDEX(Base_Estudiantes!$D$4:$D$505,MATCH(D290,Base_Estudiantes!$C$4:$C$505,0)),"")</f>
        <v/>
      </c>
      <c r="H290" s="7" t="str">
        <f t="array" ref="H290">IFERROR(INDEX(Base_Estudiantes!$F$4:$F$505,MATCH(D290,Base_Estudiantes!$C$4:$C$505,0)),"")</f>
        <v/>
      </c>
      <c r="I290" s="7" t="str">
        <f t="array" ref="I290">IFERROR(INDEX(Base_Estudiantes!$G$4:$G$505,MATCH(D290,Base_Estudiantes!$C$4:$C$505,0)),"")</f>
        <v/>
      </c>
      <c r="J290" s="7" t="str">
        <f t="array" ref="J290">IFERROR(INDEX(Base_Estudiantes!$H$4:$H$505,MATCH(D290,Base_Estudiantes!$C$4:$C$505,0)),"")</f>
        <v/>
      </c>
      <c r="K290" s="5"/>
      <c r="L290" s="5"/>
      <c r="M290" s="5"/>
      <c r="N290" s="5"/>
      <c r="O290" s="5"/>
      <c r="P290" s="5"/>
      <c r="Q290" s="5"/>
      <c r="R290" s="20"/>
      <c r="S290" s="5"/>
      <c r="T290" s="5"/>
    </row>
    <row r="291" spans="1:20" ht="15.75" customHeight="1">
      <c r="A291" s="19" t="str">
        <f t="shared" si="0"/>
        <v/>
      </c>
      <c r="B291" s="6"/>
      <c r="C291" s="20"/>
      <c r="D291" s="5"/>
      <c r="E291" s="7" t="str">
        <f t="array" ref="E291">IFERROR(INDEX(Base_Estudiantes!$A$4:$A$505,MATCH(D291,Base_Estudiantes!$C$4:$C$505,0)),"")</f>
        <v/>
      </c>
      <c r="F291" s="7" t="str">
        <f t="array" ref="F291">IFERROR(INDEX(Base_Estudiantes!$B$4:$B$505,MATCH(D291,Base_Estudiantes!$C$4:$C$505,0)),"")</f>
        <v/>
      </c>
      <c r="G291" s="7" t="str">
        <f t="array" ref="G291">IFERROR(INDEX(Base_Estudiantes!$D$4:$D$505,MATCH(D291,Base_Estudiantes!$C$4:$C$505,0)),"")</f>
        <v/>
      </c>
      <c r="H291" s="7" t="str">
        <f t="array" ref="H291">IFERROR(INDEX(Base_Estudiantes!$F$4:$F$505,MATCH(D291,Base_Estudiantes!$C$4:$C$505,0)),"")</f>
        <v/>
      </c>
      <c r="I291" s="7" t="str">
        <f t="array" ref="I291">IFERROR(INDEX(Base_Estudiantes!$G$4:$G$505,MATCH(D291,Base_Estudiantes!$C$4:$C$505,0)),"")</f>
        <v/>
      </c>
      <c r="J291" s="7" t="str">
        <f t="array" ref="J291">IFERROR(INDEX(Base_Estudiantes!$H$4:$H$505,MATCH(D291,Base_Estudiantes!$C$4:$C$505,0)),"")</f>
        <v/>
      </c>
      <c r="K291" s="5"/>
      <c r="L291" s="5"/>
      <c r="M291" s="5"/>
      <c r="N291" s="5"/>
      <c r="O291" s="5"/>
      <c r="P291" s="5"/>
      <c r="Q291" s="5"/>
      <c r="R291" s="20"/>
      <c r="S291" s="5"/>
      <c r="T291" s="5"/>
    </row>
    <row r="292" spans="1:20" ht="15.75" customHeight="1">
      <c r="A292" s="19" t="str">
        <f t="shared" si="0"/>
        <v/>
      </c>
      <c r="B292" s="6"/>
      <c r="C292" s="20"/>
      <c r="D292" s="5"/>
      <c r="E292" s="7" t="str">
        <f t="array" ref="E292">IFERROR(INDEX(Base_Estudiantes!$A$4:$A$505,MATCH(D292,Base_Estudiantes!$C$4:$C$505,0)),"")</f>
        <v/>
      </c>
      <c r="F292" s="7" t="str">
        <f t="array" ref="F292">IFERROR(INDEX(Base_Estudiantes!$B$4:$B$505,MATCH(D292,Base_Estudiantes!$C$4:$C$505,0)),"")</f>
        <v/>
      </c>
      <c r="G292" s="7" t="str">
        <f t="array" ref="G292">IFERROR(INDEX(Base_Estudiantes!$D$4:$D$505,MATCH(D292,Base_Estudiantes!$C$4:$C$505,0)),"")</f>
        <v/>
      </c>
      <c r="H292" s="7" t="str">
        <f t="array" ref="H292">IFERROR(INDEX(Base_Estudiantes!$F$4:$F$505,MATCH(D292,Base_Estudiantes!$C$4:$C$505,0)),"")</f>
        <v/>
      </c>
      <c r="I292" s="7" t="str">
        <f t="array" ref="I292">IFERROR(INDEX(Base_Estudiantes!$G$4:$G$505,MATCH(D292,Base_Estudiantes!$C$4:$C$505,0)),"")</f>
        <v/>
      </c>
      <c r="J292" s="7" t="str">
        <f t="array" ref="J292">IFERROR(INDEX(Base_Estudiantes!$H$4:$H$505,MATCH(D292,Base_Estudiantes!$C$4:$C$505,0)),"")</f>
        <v/>
      </c>
      <c r="K292" s="5"/>
      <c r="L292" s="5"/>
      <c r="M292" s="5"/>
      <c r="N292" s="5"/>
      <c r="O292" s="5"/>
      <c r="P292" s="5"/>
      <c r="Q292" s="5"/>
      <c r="R292" s="20"/>
      <c r="S292" s="5"/>
      <c r="T292" s="5"/>
    </row>
    <row r="293" spans="1:20" ht="15.75" customHeight="1">
      <c r="A293" s="19" t="str">
        <f t="shared" si="0"/>
        <v/>
      </c>
      <c r="B293" s="6"/>
      <c r="C293" s="20"/>
      <c r="D293" s="5"/>
      <c r="E293" s="7" t="str">
        <f t="array" ref="E293">IFERROR(INDEX(Base_Estudiantes!$A$4:$A$505,MATCH(D293,Base_Estudiantes!$C$4:$C$505,0)),"")</f>
        <v/>
      </c>
      <c r="F293" s="7" t="str">
        <f t="array" ref="F293">IFERROR(INDEX(Base_Estudiantes!$B$4:$B$505,MATCH(D293,Base_Estudiantes!$C$4:$C$505,0)),"")</f>
        <v/>
      </c>
      <c r="G293" s="7" t="str">
        <f t="array" ref="G293">IFERROR(INDEX(Base_Estudiantes!$D$4:$D$505,MATCH(D293,Base_Estudiantes!$C$4:$C$505,0)),"")</f>
        <v/>
      </c>
      <c r="H293" s="7" t="str">
        <f t="array" ref="H293">IFERROR(INDEX(Base_Estudiantes!$F$4:$F$505,MATCH(D293,Base_Estudiantes!$C$4:$C$505,0)),"")</f>
        <v/>
      </c>
      <c r="I293" s="7" t="str">
        <f t="array" ref="I293">IFERROR(INDEX(Base_Estudiantes!$G$4:$G$505,MATCH(D293,Base_Estudiantes!$C$4:$C$505,0)),"")</f>
        <v/>
      </c>
      <c r="J293" s="7" t="str">
        <f t="array" ref="J293">IFERROR(INDEX(Base_Estudiantes!$H$4:$H$505,MATCH(D293,Base_Estudiantes!$C$4:$C$505,0)),"")</f>
        <v/>
      </c>
      <c r="K293" s="5"/>
      <c r="L293" s="5"/>
      <c r="M293" s="5"/>
      <c r="N293" s="5"/>
      <c r="O293" s="5"/>
      <c r="P293" s="5"/>
      <c r="Q293" s="5"/>
      <c r="R293" s="20"/>
      <c r="S293" s="5"/>
      <c r="T293" s="5"/>
    </row>
    <row r="294" spans="1:20" ht="15.75" customHeight="1">
      <c r="A294" s="19" t="str">
        <f t="shared" si="0"/>
        <v/>
      </c>
      <c r="B294" s="6"/>
      <c r="C294" s="20"/>
      <c r="D294" s="5"/>
      <c r="E294" s="7" t="str">
        <f t="array" ref="E294">IFERROR(INDEX(Base_Estudiantes!$A$4:$A$505,MATCH(D294,Base_Estudiantes!$C$4:$C$505,0)),"")</f>
        <v/>
      </c>
      <c r="F294" s="7" t="str">
        <f t="array" ref="F294">IFERROR(INDEX(Base_Estudiantes!$B$4:$B$505,MATCH(D294,Base_Estudiantes!$C$4:$C$505,0)),"")</f>
        <v/>
      </c>
      <c r="G294" s="7" t="str">
        <f t="array" ref="G294">IFERROR(INDEX(Base_Estudiantes!$D$4:$D$505,MATCH(D294,Base_Estudiantes!$C$4:$C$505,0)),"")</f>
        <v/>
      </c>
      <c r="H294" s="7" t="str">
        <f t="array" ref="H294">IFERROR(INDEX(Base_Estudiantes!$F$4:$F$505,MATCH(D294,Base_Estudiantes!$C$4:$C$505,0)),"")</f>
        <v/>
      </c>
      <c r="I294" s="7" t="str">
        <f t="array" ref="I294">IFERROR(INDEX(Base_Estudiantes!$G$4:$G$505,MATCH(D294,Base_Estudiantes!$C$4:$C$505,0)),"")</f>
        <v/>
      </c>
      <c r="J294" s="7" t="str">
        <f t="array" ref="J294">IFERROR(INDEX(Base_Estudiantes!$H$4:$H$505,MATCH(D294,Base_Estudiantes!$C$4:$C$505,0)),"")</f>
        <v/>
      </c>
      <c r="K294" s="5"/>
      <c r="L294" s="5"/>
      <c r="M294" s="5"/>
      <c r="N294" s="5"/>
      <c r="O294" s="5"/>
      <c r="P294" s="5"/>
      <c r="Q294" s="5"/>
      <c r="R294" s="20"/>
      <c r="S294" s="5"/>
      <c r="T294" s="5"/>
    </row>
    <row r="295" spans="1:20" ht="15.75" customHeight="1">
      <c r="A295" s="19" t="str">
        <f t="shared" si="0"/>
        <v/>
      </c>
      <c r="B295" s="6"/>
      <c r="C295" s="20"/>
      <c r="D295" s="5"/>
      <c r="E295" s="7" t="str">
        <f t="array" ref="E295">IFERROR(INDEX(Base_Estudiantes!$A$4:$A$505,MATCH(D295,Base_Estudiantes!$C$4:$C$505,0)),"")</f>
        <v/>
      </c>
      <c r="F295" s="7" t="str">
        <f t="array" ref="F295">IFERROR(INDEX(Base_Estudiantes!$B$4:$B$505,MATCH(D295,Base_Estudiantes!$C$4:$C$505,0)),"")</f>
        <v/>
      </c>
      <c r="G295" s="7" t="str">
        <f t="array" ref="G295">IFERROR(INDEX(Base_Estudiantes!$D$4:$D$505,MATCH(D295,Base_Estudiantes!$C$4:$C$505,0)),"")</f>
        <v/>
      </c>
      <c r="H295" s="7" t="str">
        <f t="array" ref="H295">IFERROR(INDEX(Base_Estudiantes!$F$4:$F$505,MATCH(D295,Base_Estudiantes!$C$4:$C$505,0)),"")</f>
        <v/>
      </c>
      <c r="I295" s="7" t="str">
        <f t="array" ref="I295">IFERROR(INDEX(Base_Estudiantes!$G$4:$G$505,MATCH(D295,Base_Estudiantes!$C$4:$C$505,0)),"")</f>
        <v/>
      </c>
      <c r="J295" s="7" t="str">
        <f t="array" ref="J295">IFERROR(INDEX(Base_Estudiantes!$H$4:$H$505,MATCH(D295,Base_Estudiantes!$C$4:$C$505,0)),"")</f>
        <v/>
      </c>
      <c r="K295" s="5"/>
      <c r="L295" s="5"/>
      <c r="M295" s="5"/>
      <c r="N295" s="5"/>
      <c r="O295" s="5"/>
      <c r="P295" s="5"/>
      <c r="Q295" s="5"/>
      <c r="R295" s="20"/>
      <c r="S295" s="5"/>
      <c r="T295" s="5"/>
    </row>
    <row r="296" spans="1:20" ht="15.75" customHeight="1">
      <c r="A296" s="19" t="str">
        <f t="shared" si="0"/>
        <v/>
      </c>
      <c r="B296" s="6"/>
      <c r="C296" s="20"/>
      <c r="D296" s="5"/>
      <c r="E296" s="7" t="str">
        <f t="array" ref="E296">IFERROR(INDEX(Base_Estudiantes!$A$4:$A$505,MATCH(D296,Base_Estudiantes!$C$4:$C$505,0)),"")</f>
        <v/>
      </c>
      <c r="F296" s="7" t="str">
        <f t="array" ref="F296">IFERROR(INDEX(Base_Estudiantes!$B$4:$B$505,MATCH(D296,Base_Estudiantes!$C$4:$C$505,0)),"")</f>
        <v/>
      </c>
      <c r="G296" s="7" t="str">
        <f t="array" ref="G296">IFERROR(INDEX(Base_Estudiantes!$D$4:$D$505,MATCH(D296,Base_Estudiantes!$C$4:$C$505,0)),"")</f>
        <v/>
      </c>
      <c r="H296" s="7" t="str">
        <f t="array" ref="H296">IFERROR(INDEX(Base_Estudiantes!$F$4:$F$505,MATCH(D296,Base_Estudiantes!$C$4:$C$505,0)),"")</f>
        <v/>
      </c>
      <c r="I296" s="7" t="str">
        <f t="array" ref="I296">IFERROR(INDEX(Base_Estudiantes!$G$4:$G$505,MATCH(D296,Base_Estudiantes!$C$4:$C$505,0)),"")</f>
        <v/>
      </c>
      <c r="J296" s="7" t="str">
        <f t="array" ref="J296">IFERROR(INDEX(Base_Estudiantes!$H$4:$H$505,MATCH(D296,Base_Estudiantes!$C$4:$C$505,0)),"")</f>
        <v/>
      </c>
      <c r="K296" s="5"/>
      <c r="L296" s="5"/>
      <c r="M296" s="5"/>
      <c r="N296" s="5"/>
      <c r="O296" s="5"/>
      <c r="P296" s="5"/>
      <c r="Q296" s="5"/>
      <c r="R296" s="20"/>
      <c r="S296" s="5"/>
      <c r="T296" s="5"/>
    </row>
    <row r="297" spans="1:20" ht="15.75" customHeight="1">
      <c r="A297" s="19" t="str">
        <f t="shared" si="0"/>
        <v/>
      </c>
      <c r="B297" s="6"/>
      <c r="C297" s="20"/>
      <c r="D297" s="5"/>
      <c r="E297" s="7" t="str">
        <f t="array" ref="E297">IFERROR(INDEX(Base_Estudiantes!$A$4:$A$505,MATCH(D297,Base_Estudiantes!$C$4:$C$505,0)),"")</f>
        <v/>
      </c>
      <c r="F297" s="7" t="str">
        <f t="array" ref="F297">IFERROR(INDEX(Base_Estudiantes!$B$4:$B$505,MATCH(D297,Base_Estudiantes!$C$4:$C$505,0)),"")</f>
        <v/>
      </c>
      <c r="G297" s="7" t="str">
        <f t="array" ref="G297">IFERROR(INDEX(Base_Estudiantes!$D$4:$D$505,MATCH(D297,Base_Estudiantes!$C$4:$C$505,0)),"")</f>
        <v/>
      </c>
      <c r="H297" s="7" t="str">
        <f t="array" ref="H297">IFERROR(INDEX(Base_Estudiantes!$F$4:$F$505,MATCH(D297,Base_Estudiantes!$C$4:$C$505,0)),"")</f>
        <v/>
      </c>
      <c r="I297" s="7" t="str">
        <f t="array" ref="I297">IFERROR(INDEX(Base_Estudiantes!$G$4:$G$505,MATCH(D297,Base_Estudiantes!$C$4:$C$505,0)),"")</f>
        <v/>
      </c>
      <c r="J297" s="7" t="str">
        <f t="array" ref="J297">IFERROR(INDEX(Base_Estudiantes!$H$4:$H$505,MATCH(D297,Base_Estudiantes!$C$4:$C$505,0)),"")</f>
        <v/>
      </c>
      <c r="K297" s="5"/>
      <c r="L297" s="5"/>
      <c r="M297" s="5"/>
      <c r="N297" s="5"/>
      <c r="O297" s="5"/>
      <c r="P297" s="5"/>
      <c r="Q297" s="5"/>
      <c r="R297" s="20"/>
      <c r="S297" s="5"/>
      <c r="T297" s="5"/>
    </row>
    <row r="298" spans="1:20" ht="15.75" customHeight="1">
      <c r="A298" s="19" t="str">
        <f t="shared" si="0"/>
        <v/>
      </c>
      <c r="B298" s="6"/>
      <c r="C298" s="20"/>
      <c r="D298" s="5"/>
      <c r="E298" s="7" t="str">
        <f t="array" ref="E298">IFERROR(INDEX(Base_Estudiantes!$A$4:$A$505,MATCH(D298,Base_Estudiantes!$C$4:$C$505,0)),"")</f>
        <v/>
      </c>
      <c r="F298" s="7" t="str">
        <f t="array" ref="F298">IFERROR(INDEX(Base_Estudiantes!$B$4:$B$505,MATCH(D298,Base_Estudiantes!$C$4:$C$505,0)),"")</f>
        <v/>
      </c>
      <c r="G298" s="7" t="str">
        <f t="array" ref="G298">IFERROR(INDEX(Base_Estudiantes!$D$4:$D$505,MATCH(D298,Base_Estudiantes!$C$4:$C$505,0)),"")</f>
        <v/>
      </c>
      <c r="H298" s="7" t="str">
        <f t="array" ref="H298">IFERROR(INDEX(Base_Estudiantes!$F$4:$F$505,MATCH(D298,Base_Estudiantes!$C$4:$C$505,0)),"")</f>
        <v/>
      </c>
      <c r="I298" s="7" t="str">
        <f t="array" ref="I298">IFERROR(INDEX(Base_Estudiantes!$G$4:$G$505,MATCH(D298,Base_Estudiantes!$C$4:$C$505,0)),"")</f>
        <v/>
      </c>
      <c r="J298" s="7" t="str">
        <f t="array" ref="J298">IFERROR(INDEX(Base_Estudiantes!$H$4:$H$505,MATCH(D298,Base_Estudiantes!$C$4:$C$505,0)),"")</f>
        <v/>
      </c>
      <c r="K298" s="5"/>
      <c r="L298" s="5"/>
      <c r="M298" s="5"/>
      <c r="N298" s="5"/>
      <c r="O298" s="5"/>
      <c r="P298" s="5"/>
      <c r="Q298" s="5"/>
      <c r="R298" s="20"/>
      <c r="S298" s="5"/>
      <c r="T298" s="5"/>
    </row>
    <row r="299" spans="1:20" ht="15.75" customHeight="1">
      <c r="A299" s="19" t="str">
        <f t="shared" si="0"/>
        <v/>
      </c>
      <c r="B299" s="6"/>
      <c r="C299" s="20"/>
      <c r="D299" s="5"/>
      <c r="E299" s="7" t="str">
        <f t="array" ref="E299">IFERROR(INDEX(Base_Estudiantes!$A$4:$A$505,MATCH(D299,Base_Estudiantes!$C$4:$C$505,0)),"")</f>
        <v/>
      </c>
      <c r="F299" s="7" t="str">
        <f t="array" ref="F299">IFERROR(INDEX(Base_Estudiantes!$B$4:$B$505,MATCH(D299,Base_Estudiantes!$C$4:$C$505,0)),"")</f>
        <v/>
      </c>
      <c r="G299" s="7" t="str">
        <f t="array" ref="G299">IFERROR(INDEX(Base_Estudiantes!$D$4:$D$505,MATCH(D299,Base_Estudiantes!$C$4:$C$505,0)),"")</f>
        <v/>
      </c>
      <c r="H299" s="7" t="str">
        <f t="array" ref="H299">IFERROR(INDEX(Base_Estudiantes!$F$4:$F$505,MATCH(D299,Base_Estudiantes!$C$4:$C$505,0)),"")</f>
        <v/>
      </c>
      <c r="I299" s="7" t="str">
        <f t="array" ref="I299">IFERROR(INDEX(Base_Estudiantes!$G$4:$G$505,MATCH(D299,Base_Estudiantes!$C$4:$C$505,0)),"")</f>
        <v/>
      </c>
      <c r="J299" s="7" t="str">
        <f t="array" ref="J299">IFERROR(INDEX(Base_Estudiantes!$H$4:$H$505,MATCH(D299,Base_Estudiantes!$C$4:$C$505,0)),"")</f>
        <v/>
      </c>
      <c r="K299" s="5"/>
      <c r="L299" s="5"/>
      <c r="M299" s="5"/>
      <c r="N299" s="5"/>
      <c r="O299" s="5"/>
      <c r="P299" s="5"/>
      <c r="Q299" s="5"/>
      <c r="R299" s="20"/>
      <c r="S299" s="5"/>
      <c r="T299" s="5"/>
    </row>
    <row r="300" spans="1:20" ht="15.75" customHeight="1">
      <c r="A300" s="19" t="str">
        <f t="shared" si="0"/>
        <v/>
      </c>
      <c r="B300" s="6"/>
      <c r="C300" s="20"/>
      <c r="D300" s="5"/>
      <c r="E300" s="7" t="str">
        <f t="array" ref="E300">IFERROR(INDEX(Base_Estudiantes!$A$4:$A$505,MATCH(D300,Base_Estudiantes!$C$4:$C$505,0)),"")</f>
        <v/>
      </c>
      <c r="F300" s="7" t="str">
        <f t="array" ref="F300">IFERROR(INDEX(Base_Estudiantes!$B$4:$B$505,MATCH(D300,Base_Estudiantes!$C$4:$C$505,0)),"")</f>
        <v/>
      </c>
      <c r="G300" s="7" t="str">
        <f t="array" ref="G300">IFERROR(INDEX(Base_Estudiantes!$D$4:$D$505,MATCH(D300,Base_Estudiantes!$C$4:$C$505,0)),"")</f>
        <v/>
      </c>
      <c r="H300" s="7" t="str">
        <f t="array" ref="H300">IFERROR(INDEX(Base_Estudiantes!$F$4:$F$505,MATCH(D300,Base_Estudiantes!$C$4:$C$505,0)),"")</f>
        <v/>
      </c>
      <c r="I300" s="7" t="str">
        <f t="array" ref="I300">IFERROR(INDEX(Base_Estudiantes!$G$4:$G$505,MATCH(D300,Base_Estudiantes!$C$4:$C$505,0)),"")</f>
        <v/>
      </c>
      <c r="J300" s="7" t="str">
        <f t="array" ref="J300">IFERROR(INDEX(Base_Estudiantes!$H$4:$H$505,MATCH(D300,Base_Estudiantes!$C$4:$C$505,0)),"")</f>
        <v/>
      </c>
      <c r="K300" s="5"/>
      <c r="L300" s="5"/>
      <c r="M300" s="5"/>
      <c r="N300" s="5"/>
      <c r="O300" s="5"/>
      <c r="P300" s="5"/>
      <c r="Q300" s="5"/>
      <c r="R300" s="20"/>
      <c r="S300" s="5"/>
      <c r="T300" s="5"/>
    </row>
    <row r="301" spans="1:20" ht="15.75" customHeight="1">
      <c r="A301" s="19" t="str">
        <f t="shared" si="0"/>
        <v/>
      </c>
      <c r="B301" s="6"/>
      <c r="C301" s="20"/>
      <c r="D301" s="5"/>
      <c r="E301" s="7" t="str">
        <f t="array" ref="E301">IFERROR(INDEX(Base_Estudiantes!$A$4:$A$505,MATCH(D301,Base_Estudiantes!$C$4:$C$505,0)),"")</f>
        <v/>
      </c>
      <c r="F301" s="7" t="str">
        <f t="array" ref="F301">IFERROR(INDEX(Base_Estudiantes!$B$4:$B$505,MATCH(D301,Base_Estudiantes!$C$4:$C$505,0)),"")</f>
        <v/>
      </c>
      <c r="G301" s="7" t="str">
        <f t="array" ref="G301">IFERROR(INDEX(Base_Estudiantes!$D$4:$D$505,MATCH(D301,Base_Estudiantes!$C$4:$C$505,0)),"")</f>
        <v/>
      </c>
      <c r="H301" s="7" t="str">
        <f t="array" ref="H301">IFERROR(INDEX(Base_Estudiantes!$F$4:$F$505,MATCH(D301,Base_Estudiantes!$C$4:$C$505,0)),"")</f>
        <v/>
      </c>
      <c r="I301" s="7" t="str">
        <f t="array" ref="I301">IFERROR(INDEX(Base_Estudiantes!$G$4:$G$505,MATCH(D301,Base_Estudiantes!$C$4:$C$505,0)),"")</f>
        <v/>
      </c>
      <c r="J301" s="7" t="str">
        <f t="array" ref="J301">IFERROR(INDEX(Base_Estudiantes!$H$4:$H$505,MATCH(D301,Base_Estudiantes!$C$4:$C$505,0)),"")</f>
        <v/>
      </c>
      <c r="K301" s="5"/>
      <c r="L301" s="5"/>
      <c r="M301" s="5"/>
      <c r="N301" s="5"/>
      <c r="O301" s="5"/>
      <c r="P301" s="5"/>
      <c r="Q301" s="5"/>
      <c r="R301" s="20"/>
      <c r="S301" s="5"/>
      <c r="T301" s="5"/>
    </row>
    <row r="302" spans="1:20" ht="15.75" customHeight="1">
      <c r="A302" s="19" t="str">
        <f t="shared" si="0"/>
        <v/>
      </c>
      <c r="B302" s="6"/>
      <c r="C302" s="20"/>
      <c r="D302" s="5"/>
      <c r="E302" s="7" t="str">
        <f t="array" ref="E302">IFERROR(INDEX(Base_Estudiantes!$A$4:$A$505,MATCH(D302,Base_Estudiantes!$C$4:$C$505,0)),"")</f>
        <v/>
      </c>
      <c r="F302" s="7" t="str">
        <f t="array" ref="F302">IFERROR(INDEX(Base_Estudiantes!$B$4:$B$505,MATCH(D302,Base_Estudiantes!$C$4:$C$505,0)),"")</f>
        <v/>
      </c>
      <c r="G302" s="7" t="str">
        <f t="array" ref="G302">IFERROR(INDEX(Base_Estudiantes!$D$4:$D$505,MATCH(D302,Base_Estudiantes!$C$4:$C$505,0)),"")</f>
        <v/>
      </c>
      <c r="H302" s="7" t="str">
        <f t="array" ref="H302">IFERROR(INDEX(Base_Estudiantes!$F$4:$F$505,MATCH(D302,Base_Estudiantes!$C$4:$C$505,0)),"")</f>
        <v/>
      </c>
      <c r="I302" s="7" t="str">
        <f t="array" ref="I302">IFERROR(INDEX(Base_Estudiantes!$G$4:$G$505,MATCH(D302,Base_Estudiantes!$C$4:$C$505,0)),"")</f>
        <v/>
      </c>
      <c r="J302" s="7" t="str">
        <f t="array" ref="J302">IFERROR(INDEX(Base_Estudiantes!$H$4:$H$505,MATCH(D302,Base_Estudiantes!$C$4:$C$505,0)),"")</f>
        <v/>
      </c>
      <c r="K302" s="5"/>
      <c r="L302" s="5"/>
      <c r="M302" s="5"/>
      <c r="N302" s="5"/>
      <c r="O302" s="5"/>
      <c r="P302" s="5"/>
      <c r="Q302" s="5"/>
      <c r="R302" s="20"/>
      <c r="S302" s="5"/>
      <c r="T302" s="5"/>
    </row>
    <row r="303" spans="1:20" ht="15.75" customHeight="1">
      <c r="A303" s="19" t="str">
        <f t="shared" si="0"/>
        <v/>
      </c>
      <c r="B303" s="6"/>
      <c r="C303" s="20"/>
      <c r="D303" s="5"/>
      <c r="E303" s="7" t="str">
        <f t="array" ref="E303">IFERROR(INDEX(Base_Estudiantes!$A$4:$A$505,MATCH(D303,Base_Estudiantes!$C$4:$C$505,0)),"")</f>
        <v/>
      </c>
      <c r="F303" s="7" t="str">
        <f t="array" ref="F303">IFERROR(INDEX(Base_Estudiantes!$B$4:$B$505,MATCH(D303,Base_Estudiantes!$C$4:$C$505,0)),"")</f>
        <v/>
      </c>
      <c r="G303" s="7" t="str">
        <f t="array" ref="G303">IFERROR(INDEX(Base_Estudiantes!$D$4:$D$505,MATCH(D303,Base_Estudiantes!$C$4:$C$505,0)),"")</f>
        <v/>
      </c>
      <c r="H303" s="7" t="str">
        <f t="array" ref="H303">IFERROR(INDEX(Base_Estudiantes!$F$4:$F$505,MATCH(D303,Base_Estudiantes!$C$4:$C$505,0)),"")</f>
        <v/>
      </c>
      <c r="I303" s="7" t="str">
        <f t="array" ref="I303">IFERROR(INDEX(Base_Estudiantes!$G$4:$G$505,MATCH(D303,Base_Estudiantes!$C$4:$C$505,0)),"")</f>
        <v/>
      </c>
      <c r="J303" s="7" t="str">
        <f t="array" ref="J303">IFERROR(INDEX(Base_Estudiantes!$H$4:$H$505,MATCH(D303,Base_Estudiantes!$C$4:$C$505,0)),"")</f>
        <v/>
      </c>
      <c r="K303" s="5"/>
      <c r="L303" s="5"/>
      <c r="M303" s="5"/>
      <c r="N303" s="5"/>
      <c r="O303" s="5"/>
      <c r="P303" s="5"/>
      <c r="Q303" s="5"/>
      <c r="R303" s="20"/>
      <c r="S303" s="5"/>
      <c r="T303" s="5"/>
    </row>
    <row r="304" spans="1:20" ht="15.75" customHeight="1">
      <c r="A304" s="19" t="str">
        <f t="shared" si="0"/>
        <v/>
      </c>
      <c r="B304" s="6"/>
      <c r="C304" s="20"/>
      <c r="D304" s="5"/>
      <c r="E304" s="7" t="str">
        <f t="array" ref="E304">IFERROR(INDEX(Base_Estudiantes!$A$4:$A$505,MATCH(D304,Base_Estudiantes!$C$4:$C$505,0)),"")</f>
        <v/>
      </c>
      <c r="F304" s="7" t="str">
        <f t="array" ref="F304">IFERROR(INDEX(Base_Estudiantes!$B$4:$B$505,MATCH(D304,Base_Estudiantes!$C$4:$C$505,0)),"")</f>
        <v/>
      </c>
      <c r="G304" s="7" t="str">
        <f t="array" ref="G304">IFERROR(INDEX(Base_Estudiantes!$D$4:$D$505,MATCH(D304,Base_Estudiantes!$C$4:$C$505,0)),"")</f>
        <v/>
      </c>
      <c r="H304" s="7" t="str">
        <f t="array" ref="H304">IFERROR(INDEX(Base_Estudiantes!$F$4:$F$505,MATCH(D304,Base_Estudiantes!$C$4:$C$505,0)),"")</f>
        <v/>
      </c>
      <c r="I304" s="7" t="str">
        <f t="array" ref="I304">IFERROR(INDEX(Base_Estudiantes!$G$4:$G$505,MATCH(D304,Base_Estudiantes!$C$4:$C$505,0)),"")</f>
        <v/>
      </c>
      <c r="J304" s="7" t="str">
        <f t="array" ref="J304">IFERROR(INDEX(Base_Estudiantes!$H$4:$H$505,MATCH(D304,Base_Estudiantes!$C$4:$C$505,0)),"")</f>
        <v/>
      </c>
      <c r="K304" s="5"/>
      <c r="L304" s="5"/>
      <c r="M304" s="5"/>
      <c r="N304" s="5"/>
      <c r="O304" s="5"/>
      <c r="P304" s="5"/>
      <c r="Q304" s="5"/>
      <c r="R304" s="20"/>
      <c r="S304" s="5"/>
      <c r="T304" s="5"/>
    </row>
    <row r="305" spans="1:20" ht="15.75" customHeight="1">
      <c r="A305" s="19" t="str">
        <f t="shared" si="0"/>
        <v/>
      </c>
      <c r="B305" s="6"/>
      <c r="C305" s="20"/>
      <c r="D305" s="5"/>
      <c r="E305" s="7" t="str">
        <f t="array" ref="E305">IFERROR(INDEX(Base_Estudiantes!$A$4:$A$505,MATCH(D305,Base_Estudiantes!$C$4:$C$505,0)),"")</f>
        <v/>
      </c>
      <c r="F305" s="7" t="str">
        <f t="array" ref="F305">IFERROR(INDEX(Base_Estudiantes!$B$4:$B$505,MATCH(D305,Base_Estudiantes!$C$4:$C$505,0)),"")</f>
        <v/>
      </c>
      <c r="G305" s="7" t="str">
        <f t="array" ref="G305">IFERROR(INDEX(Base_Estudiantes!$D$4:$D$505,MATCH(D305,Base_Estudiantes!$C$4:$C$505,0)),"")</f>
        <v/>
      </c>
      <c r="H305" s="7" t="str">
        <f t="array" ref="H305">IFERROR(INDEX(Base_Estudiantes!$F$4:$F$505,MATCH(D305,Base_Estudiantes!$C$4:$C$505,0)),"")</f>
        <v/>
      </c>
      <c r="I305" s="7" t="str">
        <f t="array" ref="I305">IFERROR(INDEX(Base_Estudiantes!$G$4:$G$505,MATCH(D305,Base_Estudiantes!$C$4:$C$505,0)),"")</f>
        <v/>
      </c>
      <c r="J305" s="7" t="str">
        <f t="array" ref="J305">IFERROR(INDEX(Base_Estudiantes!$H$4:$H$505,MATCH(D305,Base_Estudiantes!$C$4:$C$505,0)),"")</f>
        <v/>
      </c>
      <c r="K305" s="5"/>
      <c r="L305" s="5"/>
      <c r="M305" s="5"/>
      <c r="N305" s="5"/>
      <c r="O305" s="5"/>
      <c r="P305" s="5"/>
      <c r="Q305" s="5"/>
      <c r="R305" s="20"/>
      <c r="S305" s="5"/>
      <c r="T305" s="5"/>
    </row>
    <row r="306" spans="1:20" ht="15.75" customHeight="1">
      <c r="A306" s="19" t="str">
        <f t="shared" si="0"/>
        <v/>
      </c>
      <c r="B306" s="6"/>
      <c r="C306" s="20"/>
      <c r="D306" s="5"/>
      <c r="E306" s="7" t="str">
        <f t="array" ref="E306">IFERROR(INDEX(Base_Estudiantes!$A$4:$A$505,MATCH(D306,Base_Estudiantes!$C$4:$C$505,0)),"")</f>
        <v/>
      </c>
      <c r="F306" s="7" t="str">
        <f t="array" ref="F306">IFERROR(INDEX(Base_Estudiantes!$B$4:$B$505,MATCH(D306,Base_Estudiantes!$C$4:$C$505,0)),"")</f>
        <v/>
      </c>
      <c r="G306" s="7" t="str">
        <f t="array" ref="G306">IFERROR(INDEX(Base_Estudiantes!$D$4:$D$505,MATCH(D306,Base_Estudiantes!$C$4:$C$505,0)),"")</f>
        <v/>
      </c>
      <c r="H306" s="7" t="str">
        <f t="array" ref="H306">IFERROR(INDEX(Base_Estudiantes!$F$4:$F$505,MATCH(D306,Base_Estudiantes!$C$4:$C$505,0)),"")</f>
        <v/>
      </c>
      <c r="I306" s="7" t="str">
        <f t="array" ref="I306">IFERROR(INDEX(Base_Estudiantes!$G$4:$G$505,MATCH(D306,Base_Estudiantes!$C$4:$C$505,0)),"")</f>
        <v/>
      </c>
      <c r="J306" s="7" t="str">
        <f t="array" ref="J306">IFERROR(INDEX(Base_Estudiantes!$H$4:$H$505,MATCH(D306,Base_Estudiantes!$C$4:$C$505,0)),"")</f>
        <v/>
      </c>
      <c r="K306" s="5"/>
      <c r="L306" s="5"/>
      <c r="M306" s="5"/>
      <c r="N306" s="5"/>
      <c r="O306" s="5"/>
      <c r="P306" s="5"/>
      <c r="Q306" s="5"/>
      <c r="R306" s="20"/>
      <c r="S306" s="5"/>
      <c r="T306" s="5"/>
    </row>
    <row r="307" spans="1:20" ht="15.75" customHeight="1">
      <c r="A307" s="19" t="str">
        <f t="shared" si="0"/>
        <v/>
      </c>
      <c r="B307" s="6"/>
      <c r="C307" s="20"/>
      <c r="D307" s="5"/>
      <c r="E307" s="7" t="str">
        <f t="array" ref="E307">IFERROR(INDEX(Base_Estudiantes!$A$4:$A$505,MATCH(D307,Base_Estudiantes!$C$4:$C$505,0)),"")</f>
        <v/>
      </c>
      <c r="F307" s="7" t="str">
        <f t="array" ref="F307">IFERROR(INDEX(Base_Estudiantes!$B$4:$B$505,MATCH(D307,Base_Estudiantes!$C$4:$C$505,0)),"")</f>
        <v/>
      </c>
      <c r="G307" s="7" t="str">
        <f t="array" ref="G307">IFERROR(INDEX(Base_Estudiantes!$D$4:$D$505,MATCH(D307,Base_Estudiantes!$C$4:$C$505,0)),"")</f>
        <v/>
      </c>
      <c r="H307" s="7" t="str">
        <f t="array" ref="H307">IFERROR(INDEX(Base_Estudiantes!$F$4:$F$505,MATCH(D307,Base_Estudiantes!$C$4:$C$505,0)),"")</f>
        <v/>
      </c>
      <c r="I307" s="7" t="str">
        <f t="array" ref="I307">IFERROR(INDEX(Base_Estudiantes!$G$4:$G$505,MATCH(D307,Base_Estudiantes!$C$4:$C$505,0)),"")</f>
        <v/>
      </c>
      <c r="J307" s="7" t="str">
        <f t="array" ref="J307">IFERROR(INDEX(Base_Estudiantes!$H$4:$H$505,MATCH(D307,Base_Estudiantes!$C$4:$C$505,0)),"")</f>
        <v/>
      </c>
      <c r="K307" s="5"/>
      <c r="L307" s="5"/>
      <c r="M307" s="5"/>
      <c r="N307" s="5"/>
      <c r="O307" s="5"/>
      <c r="P307" s="5"/>
      <c r="Q307" s="5"/>
      <c r="R307" s="20"/>
      <c r="S307" s="5"/>
      <c r="T307" s="5"/>
    </row>
    <row r="308" spans="1:20" ht="15.75" customHeight="1">
      <c r="A308" s="19" t="str">
        <f t="shared" si="0"/>
        <v/>
      </c>
      <c r="B308" s="6"/>
      <c r="C308" s="20"/>
      <c r="D308" s="5"/>
      <c r="E308" s="7" t="str">
        <f t="array" ref="E308">IFERROR(INDEX(Base_Estudiantes!$A$4:$A$505,MATCH(D308,Base_Estudiantes!$C$4:$C$505,0)),"")</f>
        <v/>
      </c>
      <c r="F308" s="7" t="str">
        <f t="array" ref="F308">IFERROR(INDEX(Base_Estudiantes!$B$4:$B$505,MATCH(D308,Base_Estudiantes!$C$4:$C$505,0)),"")</f>
        <v/>
      </c>
      <c r="G308" s="7" t="str">
        <f t="array" ref="G308">IFERROR(INDEX(Base_Estudiantes!$D$4:$D$505,MATCH(D308,Base_Estudiantes!$C$4:$C$505,0)),"")</f>
        <v/>
      </c>
      <c r="H308" s="7" t="str">
        <f t="array" ref="H308">IFERROR(INDEX(Base_Estudiantes!$F$4:$F$505,MATCH(D308,Base_Estudiantes!$C$4:$C$505,0)),"")</f>
        <v/>
      </c>
      <c r="I308" s="7" t="str">
        <f t="array" ref="I308">IFERROR(INDEX(Base_Estudiantes!$G$4:$G$505,MATCH(D308,Base_Estudiantes!$C$4:$C$505,0)),"")</f>
        <v/>
      </c>
      <c r="J308" s="7" t="str">
        <f t="array" ref="J308">IFERROR(INDEX(Base_Estudiantes!$H$4:$H$505,MATCH(D308,Base_Estudiantes!$C$4:$C$505,0)),"")</f>
        <v/>
      </c>
      <c r="K308" s="5"/>
      <c r="L308" s="5"/>
      <c r="M308" s="5"/>
      <c r="N308" s="5"/>
      <c r="O308" s="5"/>
      <c r="P308" s="5"/>
      <c r="Q308" s="5"/>
      <c r="R308" s="20"/>
      <c r="S308" s="5"/>
      <c r="T308" s="5"/>
    </row>
    <row r="309" spans="1:20" ht="15.75" customHeight="1">
      <c r="A309" s="19" t="str">
        <f t="shared" si="0"/>
        <v/>
      </c>
      <c r="B309" s="6"/>
      <c r="C309" s="20"/>
      <c r="D309" s="5"/>
      <c r="E309" s="7" t="str">
        <f t="array" ref="E309">IFERROR(INDEX(Base_Estudiantes!$A$4:$A$505,MATCH(D309,Base_Estudiantes!$C$4:$C$505,0)),"")</f>
        <v/>
      </c>
      <c r="F309" s="7" t="str">
        <f t="array" ref="F309">IFERROR(INDEX(Base_Estudiantes!$B$4:$B$505,MATCH(D309,Base_Estudiantes!$C$4:$C$505,0)),"")</f>
        <v/>
      </c>
      <c r="G309" s="7" t="str">
        <f t="array" ref="G309">IFERROR(INDEX(Base_Estudiantes!$D$4:$D$505,MATCH(D309,Base_Estudiantes!$C$4:$C$505,0)),"")</f>
        <v/>
      </c>
      <c r="H309" s="7" t="str">
        <f t="array" ref="H309">IFERROR(INDEX(Base_Estudiantes!$F$4:$F$505,MATCH(D309,Base_Estudiantes!$C$4:$C$505,0)),"")</f>
        <v/>
      </c>
      <c r="I309" s="7" t="str">
        <f t="array" ref="I309">IFERROR(INDEX(Base_Estudiantes!$G$4:$G$505,MATCH(D309,Base_Estudiantes!$C$4:$C$505,0)),"")</f>
        <v/>
      </c>
      <c r="J309" s="7" t="str">
        <f t="array" ref="J309">IFERROR(INDEX(Base_Estudiantes!$H$4:$H$505,MATCH(D309,Base_Estudiantes!$C$4:$C$505,0)),"")</f>
        <v/>
      </c>
      <c r="K309" s="5"/>
      <c r="L309" s="5"/>
      <c r="M309" s="5"/>
      <c r="N309" s="5"/>
      <c r="O309" s="5"/>
      <c r="P309" s="5"/>
      <c r="Q309" s="5"/>
      <c r="R309" s="20"/>
      <c r="S309" s="5"/>
      <c r="T309" s="5"/>
    </row>
    <row r="310" spans="1:20" ht="15.75" customHeight="1">
      <c r="A310" s="19" t="str">
        <f t="shared" si="0"/>
        <v/>
      </c>
      <c r="B310" s="6"/>
      <c r="C310" s="20"/>
      <c r="D310" s="5"/>
      <c r="E310" s="7" t="str">
        <f t="array" ref="E310">IFERROR(INDEX(Base_Estudiantes!$A$4:$A$505,MATCH(D310,Base_Estudiantes!$C$4:$C$505,0)),"")</f>
        <v/>
      </c>
      <c r="F310" s="7" t="str">
        <f t="array" ref="F310">IFERROR(INDEX(Base_Estudiantes!$B$4:$B$505,MATCH(D310,Base_Estudiantes!$C$4:$C$505,0)),"")</f>
        <v/>
      </c>
      <c r="G310" s="7" t="str">
        <f t="array" ref="G310">IFERROR(INDEX(Base_Estudiantes!$D$4:$D$505,MATCH(D310,Base_Estudiantes!$C$4:$C$505,0)),"")</f>
        <v/>
      </c>
      <c r="H310" s="7" t="str">
        <f t="array" ref="H310">IFERROR(INDEX(Base_Estudiantes!$F$4:$F$505,MATCH(D310,Base_Estudiantes!$C$4:$C$505,0)),"")</f>
        <v/>
      </c>
      <c r="I310" s="7" t="str">
        <f t="array" ref="I310">IFERROR(INDEX(Base_Estudiantes!$G$4:$G$505,MATCH(D310,Base_Estudiantes!$C$4:$C$505,0)),"")</f>
        <v/>
      </c>
      <c r="J310" s="7" t="str">
        <f t="array" ref="J310">IFERROR(INDEX(Base_Estudiantes!$H$4:$H$505,MATCH(D310,Base_Estudiantes!$C$4:$C$505,0)),"")</f>
        <v/>
      </c>
      <c r="K310" s="5"/>
      <c r="L310" s="5"/>
      <c r="M310" s="5"/>
      <c r="N310" s="5"/>
      <c r="O310" s="5"/>
      <c r="P310" s="5"/>
      <c r="Q310" s="5"/>
      <c r="R310" s="20"/>
      <c r="S310" s="5"/>
      <c r="T310" s="5"/>
    </row>
    <row r="311" spans="1:20" ht="15.75" customHeight="1">
      <c r="A311" s="19" t="str">
        <f t="shared" si="0"/>
        <v/>
      </c>
      <c r="B311" s="6"/>
      <c r="C311" s="20"/>
      <c r="D311" s="5"/>
      <c r="E311" s="7" t="str">
        <f t="array" ref="E311">IFERROR(INDEX(Base_Estudiantes!$A$4:$A$505,MATCH(D311,Base_Estudiantes!$C$4:$C$505,0)),"")</f>
        <v/>
      </c>
      <c r="F311" s="7" t="str">
        <f t="array" ref="F311">IFERROR(INDEX(Base_Estudiantes!$B$4:$B$505,MATCH(D311,Base_Estudiantes!$C$4:$C$505,0)),"")</f>
        <v/>
      </c>
      <c r="G311" s="7" t="str">
        <f t="array" ref="G311">IFERROR(INDEX(Base_Estudiantes!$D$4:$D$505,MATCH(D311,Base_Estudiantes!$C$4:$C$505,0)),"")</f>
        <v/>
      </c>
      <c r="H311" s="7" t="str">
        <f t="array" ref="H311">IFERROR(INDEX(Base_Estudiantes!$F$4:$F$505,MATCH(D311,Base_Estudiantes!$C$4:$C$505,0)),"")</f>
        <v/>
      </c>
      <c r="I311" s="7" t="str">
        <f t="array" ref="I311">IFERROR(INDEX(Base_Estudiantes!$G$4:$G$505,MATCH(D311,Base_Estudiantes!$C$4:$C$505,0)),"")</f>
        <v/>
      </c>
      <c r="J311" s="7" t="str">
        <f t="array" ref="J311">IFERROR(INDEX(Base_Estudiantes!$H$4:$H$505,MATCH(D311,Base_Estudiantes!$C$4:$C$505,0)),"")</f>
        <v/>
      </c>
      <c r="K311" s="5"/>
      <c r="L311" s="5"/>
      <c r="M311" s="5"/>
      <c r="N311" s="5"/>
      <c r="O311" s="5"/>
      <c r="P311" s="5"/>
      <c r="Q311" s="5"/>
      <c r="R311" s="20"/>
      <c r="S311" s="5"/>
      <c r="T311" s="5"/>
    </row>
    <row r="312" spans="1:20" ht="15.75" customHeight="1">
      <c r="A312" s="19" t="str">
        <f t="shared" si="0"/>
        <v/>
      </c>
      <c r="B312" s="6"/>
      <c r="C312" s="20"/>
      <c r="D312" s="5"/>
      <c r="E312" s="7" t="str">
        <f t="array" ref="E312">IFERROR(INDEX(Base_Estudiantes!$A$4:$A$505,MATCH(D312,Base_Estudiantes!$C$4:$C$505,0)),"")</f>
        <v/>
      </c>
      <c r="F312" s="7" t="str">
        <f t="array" ref="F312">IFERROR(INDEX(Base_Estudiantes!$B$4:$B$505,MATCH(D312,Base_Estudiantes!$C$4:$C$505,0)),"")</f>
        <v/>
      </c>
      <c r="G312" s="7" t="str">
        <f t="array" ref="G312">IFERROR(INDEX(Base_Estudiantes!$D$4:$D$505,MATCH(D312,Base_Estudiantes!$C$4:$C$505,0)),"")</f>
        <v/>
      </c>
      <c r="H312" s="7" t="str">
        <f t="array" ref="H312">IFERROR(INDEX(Base_Estudiantes!$F$4:$F$505,MATCH(D312,Base_Estudiantes!$C$4:$C$505,0)),"")</f>
        <v/>
      </c>
      <c r="I312" s="7" t="str">
        <f t="array" ref="I312">IFERROR(INDEX(Base_Estudiantes!$G$4:$G$505,MATCH(D312,Base_Estudiantes!$C$4:$C$505,0)),"")</f>
        <v/>
      </c>
      <c r="J312" s="7" t="str">
        <f t="array" ref="J312">IFERROR(INDEX(Base_Estudiantes!$H$4:$H$505,MATCH(D312,Base_Estudiantes!$C$4:$C$505,0)),"")</f>
        <v/>
      </c>
      <c r="K312" s="5"/>
      <c r="L312" s="5"/>
      <c r="M312" s="5"/>
      <c r="N312" s="5"/>
      <c r="O312" s="5"/>
      <c r="P312" s="5"/>
      <c r="Q312" s="5"/>
      <c r="R312" s="20"/>
      <c r="S312" s="5"/>
      <c r="T312" s="5"/>
    </row>
    <row r="313" spans="1:20" ht="15.75" customHeight="1">
      <c r="A313" s="19" t="str">
        <f t="shared" si="0"/>
        <v/>
      </c>
      <c r="B313" s="6"/>
      <c r="C313" s="20"/>
      <c r="D313" s="5"/>
      <c r="E313" s="7" t="str">
        <f t="array" ref="E313">IFERROR(INDEX(Base_Estudiantes!$A$4:$A$505,MATCH(D313,Base_Estudiantes!$C$4:$C$505,0)),"")</f>
        <v/>
      </c>
      <c r="F313" s="7" t="str">
        <f t="array" ref="F313">IFERROR(INDEX(Base_Estudiantes!$B$4:$B$505,MATCH(D313,Base_Estudiantes!$C$4:$C$505,0)),"")</f>
        <v/>
      </c>
      <c r="G313" s="7" t="str">
        <f t="array" ref="G313">IFERROR(INDEX(Base_Estudiantes!$D$4:$D$505,MATCH(D313,Base_Estudiantes!$C$4:$C$505,0)),"")</f>
        <v/>
      </c>
      <c r="H313" s="7" t="str">
        <f t="array" ref="H313">IFERROR(INDEX(Base_Estudiantes!$F$4:$F$505,MATCH(D313,Base_Estudiantes!$C$4:$C$505,0)),"")</f>
        <v/>
      </c>
      <c r="I313" s="7" t="str">
        <f t="array" ref="I313">IFERROR(INDEX(Base_Estudiantes!$G$4:$G$505,MATCH(D313,Base_Estudiantes!$C$4:$C$505,0)),"")</f>
        <v/>
      </c>
      <c r="J313" s="7" t="str">
        <f t="array" ref="J313">IFERROR(INDEX(Base_Estudiantes!$H$4:$H$505,MATCH(D313,Base_Estudiantes!$C$4:$C$505,0)),"")</f>
        <v/>
      </c>
      <c r="K313" s="5"/>
      <c r="L313" s="5"/>
      <c r="M313" s="5"/>
      <c r="N313" s="5"/>
      <c r="O313" s="5"/>
      <c r="P313" s="5"/>
      <c r="Q313" s="5"/>
      <c r="R313" s="20"/>
      <c r="S313" s="5"/>
      <c r="T313" s="5"/>
    </row>
    <row r="314" spans="1:20" ht="15.75" customHeight="1">
      <c r="A314" s="19" t="str">
        <f t="shared" si="0"/>
        <v/>
      </c>
      <c r="B314" s="6"/>
      <c r="C314" s="20"/>
      <c r="D314" s="5"/>
      <c r="E314" s="7" t="str">
        <f t="array" ref="E314">IFERROR(INDEX(Base_Estudiantes!$A$4:$A$505,MATCH(D314,Base_Estudiantes!$C$4:$C$505,0)),"")</f>
        <v/>
      </c>
      <c r="F314" s="7" t="str">
        <f t="array" ref="F314">IFERROR(INDEX(Base_Estudiantes!$B$4:$B$505,MATCH(D314,Base_Estudiantes!$C$4:$C$505,0)),"")</f>
        <v/>
      </c>
      <c r="G314" s="7" t="str">
        <f t="array" ref="G314">IFERROR(INDEX(Base_Estudiantes!$D$4:$D$505,MATCH(D314,Base_Estudiantes!$C$4:$C$505,0)),"")</f>
        <v/>
      </c>
      <c r="H314" s="7" t="str">
        <f t="array" ref="H314">IFERROR(INDEX(Base_Estudiantes!$F$4:$F$505,MATCH(D314,Base_Estudiantes!$C$4:$C$505,0)),"")</f>
        <v/>
      </c>
      <c r="I314" s="7" t="str">
        <f t="array" ref="I314">IFERROR(INDEX(Base_Estudiantes!$G$4:$G$505,MATCH(D314,Base_Estudiantes!$C$4:$C$505,0)),"")</f>
        <v/>
      </c>
      <c r="J314" s="7" t="str">
        <f t="array" ref="J314">IFERROR(INDEX(Base_Estudiantes!$H$4:$H$505,MATCH(D314,Base_Estudiantes!$C$4:$C$505,0)),"")</f>
        <v/>
      </c>
      <c r="K314" s="5"/>
      <c r="L314" s="5"/>
      <c r="M314" s="5"/>
      <c r="N314" s="5"/>
      <c r="O314" s="5"/>
      <c r="P314" s="5"/>
      <c r="Q314" s="5"/>
      <c r="R314" s="20"/>
      <c r="S314" s="5"/>
      <c r="T314" s="5"/>
    </row>
    <row r="315" spans="1:20" ht="15.75" customHeight="1">
      <c r="A315" s="19" t="str">
        <f t="shared" si="0"/>
        <v/>
      </c>
      <c r="B315" s="6"/>
      <c r="C315" s="20"/>
      <c r="D315" s="5"/>
      <c r="E315" s="7" t="str">
        <f t="array" ref="E315">IFERROR(INDEX(Base_Estudiantes!$A$4:$A$505,MATCH(D315,Base_Estudiantes!$C$4:$C$505,0)),"")</f>
        <v/>
      </c>
      <c r="F315" s="7" t="str">
        <f t="array" ref="F315">IFERROR(INDEX(Base_Estudiantes!$B$4:$B$505,MATCH(D315,Base_Estudiantes!$C$4:$C$505,0)),"")</f>
        <v/>
      </c>
      <c r="G315" s="7" t="str">
        <f t="array" ref="G315">IFERROR(INDEX(Base_Estudiantes!$D$4:$D$505,MATCH(D315,Base_Estudiantes!$C$4:$C$505,0)),"")</f>
        <v/>
      </c>
      <c r="H315" s="7" t="str">
        <f t="array" ref="H315">IFERROR(INDEX(Base_Estudiantes!$F$4:$F$505,MATCH(D315,Base_Estudiantes!$C$4:$C$505,0)),"")</f>
        <v/>
      </c>
      <c r="I315" s="7" t="str">
        <f t="array" ref="I315">IFERROR(INDEX(Base_Estudiantes!$G$4:$G$505,MATCH(D315,Base_Estudiantes!$C$4:$C$505,0)),"")</f>
        <v/>
      </c>
      <c r="J315" s="7" t="str">
        <f t="array" ref="J315">IFERROR(INDEX(Base_Estudiantes!$H$4:$H$505,MATCH(D315,Base_Estudiantes!$C$4:$C$505,0)),"")</f>
        <v/>
      </c>
      <c r="K315" s="5"/>
      <c r="L315" s="5"/>
      <c r="M315" s="5"/>
      <c r="N315" s="5"/>
      <c r="O315" s="5"/>
      <c r="P315" s="5"/>
      <c r="Q315" s="5"/>
      <c r="R315" s="20"/>
      <c r="S315" s="5"/>
      <c r="T315" s="5"/>
    </row>
    <row r="316" spans="1:20" ht="15.75" customHeight="1">
      <c r="A316" s="19" t="str">
        <f t="shared" si="0"/>
        <v/>
      </c>
      <c r="B316" s="6"/>
      <c r="C316" s="20"/>
      <c r="D316" s="5"/>
      <c r="E316" s="7" t="str">
        <f t="array" ref="E316">IFERROR(INDEX(Base_Estudiantes!$A$4:$A$505,MATCH(D316,Base_Estudiantes!$C$4:$C$505,0)),"")</f>
        <v/>
      </c>
      <c r="F316" s="7" t="str">
        <f t="array" ref="F316">IFERROR(INDEX(Base_Estudiantes!$B$4:$B$505,MATCH(D316,Base_Estudiantes!$C$4:$C$505,0)),"")</f>
        <v/>
      </c>
      <c r="G316" s="7" t="str">
        <f t="array" ref="G316">IFERROR(INDEX(Base_Estudiantes!$D$4:$D$505,MATCH(D316,Base_Estudiantes!$C$4:$C$505,0)),"")</f>
        <v/>
      </c>
      <c r="H316" s="7" t="str">
        <f t="array" ref="H316">IFERROR(INDEX(Base_Estudiantes!$F$4:$F$505,MATCH(D316,Base_Estudiantes!$C$4:$C$505,0)),"")</f>
        <v/>
      </c>
      <c r="I316" s="7" t="str">
        <f t="array" ref="I316">IFERROR(INDEX(Base_Estudiantes!$G$4:$G$505,MATCH(D316,Base_Estudiantes!$C$4:$C$505,0)),"")</f>
        <v/>
      </c>
      <c r="J316" s="7" t="str">
        <f t="array" ref="J316">IFERROR(INDEX(Base_Estudiantes!$H$4:$H$505,MATCH(D316,Base_Estudiantes!$C$4:$C$505,0)),"")</f>
        <v/>
      </c>
      <c r="K316" s="5"/>
      <c r="L316" s="5"/>
      <c r="M316" s="5"/>
      <c r="N316" s="5"/>
      <c r="O316" s="5"/>
      <c r="P316" s="5"/>
      <c r="Q316" s="5"/>
      <c r="R316" s="20"/>
      <c r="S316" s="5"/>
      <c r="T316" s="5"/>
    </row>
    <row r="317" spans="1:20" ht="15.75" customHeight="1">
      <c r="A317" s="19" t="str">
        <f t="shared" si="0"/>
        <v/>
      </c>
      <c r="B317" s="6"/>
      <c r="C317" s="20"/>
      <c r="D317" s="5"/>
      <c r="E317" s="7" t="str">
        <f t="array" ref="E317">IFERROR(INDEX(Base_Estudiantes!$A$4:$A$505,MATCH(D317,Base_Estudiantes!$C$4:$C$505,0)),"")</f>
        <v/>
      </c>
      <c r="F317" s="7" t="str">
        <f t="array" ref="F317">IFERROR(INDEX(Base_Estudiantes!$B$4:$B$505,MATCH(D317,Base_Estudiantes!$C$4:$C$505,0)),"")</f>
        <v/>
      </c>
      <c r="G317" s="7" t="str">
        <f t="array" ref="G317">IFERROR(INDEX(Base_Estudiantes!$D$4:$D$505,MATCH(D317,Base_Estudiantes!$C$4:$C$505,0)),"")</f>
        <v/>
      </c>
      <c r="H317" s="7" t="str">
        <f t="array" ref="H317">IFERROR(INDEX(Base_Estudiantes!$F$4:$F$505,MATCH(D317,Base_Estudiantes!$C$4:$C$505,0)),"")</f>
        <v/>
      </c>
      <c r="I317" s="7" t="str">
        <f t="array" ref="I317">IFERROR(INDEX(Base_Estudiantes!$G$4:$G$505,MATCH(D317,Base_Estudiantes!$C$4:$C$505,0)),"")</f>
        <v/>
      </c>
      <c r="J317" s="7" t="str">
        <f t="array" ref="J317">IFERROR(INDEX(Base_Estudiantes!$H$4:$H$505,MATCH(D317,Base_Estudiantes!$C$4:$C$505,0)),"")</f>
        <v/>
      </c>
      <c r="K317" s="5"/>
      <c r="L317" s="5"/>
      <c r="M317" s="5"/>
      <c r="N317" s="5"/>
      <c r="O317" s="5"/>
      <c r="P317" s="5"/>
      <c r="Q317" s="5"/>
      <c r="R317" s="20"/>
      <c r="S317" s="5"/>
      <c r="T317" s="5"/>
    </row>
    <row r="318" spans="1:20" ht="15.75" customHeight="1">
      <c r="A318" s="19" t="str">
        <f t="shared" si="0"/>
        <v/>
      </c>
      <c r="B318" s="6"/>
      <c r="C318" s="20"/>
      <c r="D318" s="5"/>
      <c r="E318" s="7" t="str">
        <f t="array" ref="E318">IFERROR(INDEX(Base_Estudiantes!$A$4:$A$505,MATCH(D318,Base_Estudiantes!$C$4:$C$505,0)),"")</f>
        <v/>
      </c>
      <c r="F318" s="7" t="str">
        <f t="array" ref="F318">IFERROR(INDEX(Base_Estudiantes!$B$4:$B$505,MATCH(D318,Base_Estudiantes!$C$4:$C$505,0)),"")</f>
        <v/>
      </c>
      <c r="G318" s="7" t="str">
        <f t="array" ref="G318">IFERROR(INDEX(Base_Estudiantes!$D$4:$D$505,MATCH(D318,Base_Estudiantes!$C$4:$C$505,0)),"")</f>
        <v/>
      </c>
      <c r="H318" s="7" t="str">
        <f t="array" ref="H318">IFERROR(INDEX(Base_Estudiantes!$F$4:$F$505,MATCH(D318,Base_Estudiantes!$C$4:$C$505,0)),"")</f>
        <v/>
      </c>
      <c r="I318" s="7" t="str">
        <f t="array" ref="I318">IFERROR(INDEX(Base_Estudiantes!$G$4:$G$505,MATCH(D318,Base_Estudiantes!$C$4:$C$505,0)),"")</f>
        <v/>
      </c>
      <c r="J318" s="7" t="str">
        <f t="array" ref="J318">IFERROR(INDEX(Base_Estudiantes!$H$4:$H$505,MATCH(D318,Base_Estudiantes!$C$4:$C$505,0)),"")</f>
        <v/>
      </c>
      <c r="K318" s="5"/>
      <c r="L318" s="5"/>
      <c r="M318" s="5"/>
      <c r="N318" s="5"/>
      <c r="O318" s="5"/>
      <c r="P318" s="5"/>
      <c r="Q318" s="5"/>
      <c r="R318" s="20"/>
      <c r="S318" s="5"/>
      <c r="T318" s="5"/>
    </row>
    <row r="319" spans="1:20" ht="15.75" customHeight="1">
      <c r="A319" s="19" t="str">
        <f t="shared" si="0"/>
        <v/>
      </c>
      <c r="B319" s="6"/>
      <c r="C319" s="20"/>
      <c r="D319" s="5"/>
      <c r="E319" s="7" t="str">
        <f t="array" ref="E319">IFERROR(INDEX(Base_Estudiantes!$A$4:$A$505,MATCH(D319,Base_Estudiantes!$C$4:$C$505,0)),"")</f>
        <v/>
      </c>
      <c r="F319" s="7" t="str">
        <f t="array" ref="F319">IFERROR(INDEX(Base_Estudiantes!$B$4:$B$505,MATCH(D319,Base_Estudiantes!$C$4:$C$505,0)),"")</f>
        <v/>
      </c>
      <c r="G319" s="7" t="str">
        <f t="array" ref="G319">IFERROR(INDEX(Base_Estudiantes!$D$4:$D$505,MATCH(D319,Base_Estudiantes!$C$4:$C$505,0)),"")</f>
        <v/>
      </c>
      <c r="H319" s="7" t="str">
        <f t="array" ref="H319">IFERROR(INDEX(Base_Estudiantes!$F$4:$F$505,MATCH(D319,Base_Estudiantes!$C$4:$C$505,0)),"")</f>
        <v/>
      </c>
      <c r="I319" s="7" t="str">
        <f t="array" ref="I319">IFERROR(INDEX(Base_Estudiantes!$G$4:$G$505,MATCH(D319,Base_Estudiantes!$C$4:$C$505,0)),"")</f>
        <v/>
      </c>
      <c r="J319" s="7" t="str">
        <f t="array" ref="J319">IFERROR(INDEX(Base_Estudiantes!$H$4:$H$505,MATCH(D319,Base_Estudiantes!$C$4:$C$505,0)),"")</f>
        <v/>
      </c>
      <c r="K319" s="5"/>
      <c r="L319" s="5"/>
      <c r="M319" s="5"/>
      <c r="N319" s="5"/>
      <c r="O319" s="5"/>
      <c r="P319" s="5"/>
      <c r="Q319" s="5"/>
      <c r="R319" s="20"/>
      <c r="S319" s="5"/>
      <c r="T319" s="5"/>
    </row>
    <row r="320" spans="1:20" ht="15.75" customHeight="1">
      <c r="A320" s="19" t="str">
        <f t="shared" si="0"/>
        <v/>
      </c>
      <c r="B320" s="6"/>
      <c r="C320" s="20"/>
      <c r="D320" s="5"/>
      <c r="E320" s="7" t="str">
        <f t="array" ref="E320">IFERROR(INDEX(Base_Estudiantes!$A$4:$A$505,MATCH(D320,Base_Estudiantes!$C$4:$C$505,0)),"")</f>
        <v/>
      </c>
      <c r="F320" s="7" t="str">
        <f t="array" ref="F320">IFERROR(INDEX(Base_Estudiantes!$B$4:$B$505,MATCH(D320,Base_Estudiantes!$C$4:$C$505,0)),"")</f>
        <v/>
      </c>
      <c r="G320" s="7" t="str">
        <f t="array" ref="G320">IFERROR(INDEX(Base_Estudiantes!$D$4:$D$505,MATCH(D320,Base_Estudiantes!$C$4:$C$505,0)),"")</f>
        <v/>
      </c>
      <c r="H320" s="7" t="str">
        <f t="array" ref="H320">IFERROR(INDEX(Base_Estudiantes!$F$4:$F$505,MATCH(D320,Base_Estudiantes!$C$4:$C$505,0)),"")</f>
        <v/>
      </c>
      <c r="I320" s="7" t="str">
        <f t="array" ref="I320">IFERROR(INDEX(Base_Estudiantes!$G$4:$G$505,MATCH(D320,Base_Estudiantes!$C$4:$C$505,0)),"")</f>
        <v/>
      </c>
      <c r="J320" s="7" t="str">
        <f t="array" ref="J320">IFERROR(INDEX(Base_Estudiantes!$H$4:$H$505,MATCH(D320,Base_Estudiantes!$C$4:$C$505,0)),"")</f>
        <v/>
      </c>
      <c r="K320" s="5"/>
      <c r="L320" s="5"/>
      <c r="M320" s="5"/>
      <c r="N320" s="5"/>
      <c r="O320" s="5"/>
      <c r="P320" s="5"/>
      <c r="Q320" s="5"/>
      <c r="R320" s="20"/>
      <c r="S320" s="5"/>
      <c r="T320" s="5"/>
    </row>
    <row r="321" spans="1:20" ht="15.75" customHeight="1">
      <c r="A321" s="19" t="str">
        <f t="shared" si="0"/>
        <v/>
      </c>
      <c r="B321" s="6"/>
      <c r="C321" s="20"/>
      <c r="D321" s="5"/>
      <c r="E321" s="7" t="str">
        <f t="array" ref="E321">IFERROR(INDEX(Base_Estudiantes!$A$4:$A$505,MATCH(D321,Base_Estudiantes!$C$4:$C$505,0)),"")</f>
        <v/>
      </c>
      <c r="F321" s="7" t="str">
        <f t="array" ref="F321">IFERROR(INDEX(Base_Estudiantes!$B$4:$B$505,MATCH(D321,Base_Estudiantes!$C$4:$C$505,0)),"")</f>
        <v/>
      </c>
      <c r="G321" s="7" t="str">
        <f t="array" ref="G321">IFERROR(INDEX(Base_Estudiantes!$D$4:$D$505,MATCH(D321,Base_Estudiantes!$C$4:$C$505,0)),"")</f>
        <v/>
      </c>
      <c r="H321" s="7" t="str">
        <f t="array" ref="H321">IFERROR(INDEX(Base_Estudiantes!$F$4:$F$505,MATCH(D321,Base_Estudiantes!$C$4:$C$505,0)),"")</f>
        <v/>
      </c>
      <c r="I321" s="7" t="str">
        <f t="array" ref="I321">IFERROR(INDEX(Base_Estudiantes!$G$4:$G$505,MATCH(D321,Base_Estudiantes!$C$4:$C$505,0)),"")</f>
        <v/>
      </c>
      <c r="J321" s="7" t="str">
        <f t="array" ref="J321">IFERROR(INDEX(Base_Estudiantes!$H$4:$H$505,MATCH(D321,Base_Estudiantes!$C$4:$C$505,0)),"")</f>
        <v/>
      </c>
      <c r="K321" s="5"/>
      <c r="L321" s="5"/>
      <c r="M321" s="5"/>
      <c r="N321" s="5"/>
      <c r="O321" s="5"/>
      <c r="P321" s="5"/>
      <c r="Q321" s="5"/>
      <c r="R321" s="20"/>
      <c r="S321" s="5"/>
      <c r="T321" s="5"/>
    </row>
    <row r="322" spans="1:20" ht="15.75" customHeight="1">
      <c r="A322" s="19" t="str">
        <f t="shared" si="0"/>
        <v/>
      </c>
      <c r="B322" s="6"/>
      <c r="C322" s="20"/>
      <c r="D322" s="5"/>
      <c r="E322" s="7" t="str">
        <f t="array" ref="E322">IFERROR(INDEX(Base_Estudiantes!$A$4:$A$505,MATCH(D322,Base_Estudiantes!$C$4:$C$505,0)),"")</f>
        <v/>
      </c>
      <c r="F322" s="7" t="str">
        <f t="array" ref="F322">IFERROR(INDEX(Base_Estudiantes!$B$4:$B$505,MATCH(D322,Base_Estudiantes!$C$4:$C$505,0)),"")</f>
        <v/>
      </c>
      <c r="G322" s="7" t="str">
        <f t="array" ref="G322">IFERROR(INDEX(Base_Estudiantes!$D$4:$D$505,MATCH(D322,Base_Estudiantes!$C$4:$C$505,0)),"")</f>
        <v/>
      </c>
      <c r="H322" s="7" t="str">
        <f t="array" ref="H322">IFERROR(INDEX(Base_Estudiantes!$F$4:$F$505,MATCH(D322,Base_Estudiantes!$C$4:$C$505,0)),"")</f>
        <v/>
      </c>
      <c r="I322" s="7" t="str">
        <f t="array" ref="I322">IFERROR(INDEX(Base_Estudiantes!$G$4:$G$505,MATCH(D322,Base_Estudiantes!$C$4:$C$505,0)),"")</f>
        <v/>
      </c>
      <c r="J322" s="7" t="str">
        <f t="array" ref="J322">IFERROR(INDEX(Base_Estudiantes!$H$4:$H$505,MATCH(D322,Base_Estudiantes!$C$4:$C$505,0)),"")</f>
        <v/>
      </c>
      <c r="K322" s="5"/>
      <c r="L322" s="5"/>
      <c r="M322" s="5"/>
      <c r="N322" s="5"/>
      <c r="O322" s="5"/>
      <c r="P322" s="5"/>
      <c r="Q322" s="5"/>
      <c r="R322" s="20"/>
      <c r="S322" s="5"/>
      <c r="T322" s="5"/>
    </row>
    <row r="323" spans="1:20" ht="15.75" customHeight="1">
      <c r="A323" s="19" t="str">
        <f t="shared" si="0"/>
        <v/>
      </c>
      <c r="B323" s="6"/>
      <c r="C323" s="20"/>
      <c r="D323" s="5"/>
      <c r="E323" s="7" t="str">
        <f t="array" ref="E323">IFERROR(INDEX(Base_Estudiantes!$A$4:$A$505,MATCH(D323,Base_Estudiantes!$C$4:$C$505,0)),"")</f>
        <v/>
      </c>
      <c r="F323" s="7" t="str">
        <f t="array" ref="F323">IFERROR(INDEX(Base_Estudiantes!$B$4:$B$505,MATCH(D323,Base_Estudiantes!$C$4:$C$505,0)),"")</f>
        <v/>
      </c>
      <c r="G323" s="7" t="str">
        <f t="array" ref="G323">IFERROR(INDEX(Base_Estudiantes!$D$4:$D$505,MATCH(D323,Base_Estudiantes!$C$4:$C$505,0)),"")</f>
        <v/>
      </c>
      <c r="H323" s="7" t="str">
        <f t="array" ref="H323">IFERROR(INDEX(Base_Estudiantes!$F$4:$F$505,MATCH(D323,Base_Estudiantes!$C$4:$C$505,0)),"")</f>
        <v/>
      </c>
      <c r="I323" s="7" t="str">
        <f t="array" ref="I323">IFERROR(INDEX(Base_Estudiantes!$G$4:$G$505,MATCH(D323,Base_Estudiantes!$C$4:$C$505,0)),"")</f>
        <v/>
      </c>
      <c r="J323" s="7" t="str">
        <f t="array" ref="J323">IFERROR(INDEX(Base_Estudiantes!$H$4:$H$505,MATCH(D323,Base_Estudiantes!$C$4:$C$505,0)),"")</f>
        <v/>
      </c>
      <c r="K323" s="5"/>
      <c r="L323" s="5"/>
      <c r="M323" s="5"/>
      <c r="N323" s="5"/>
      <c r="O323" s="5"/>
      <c r="P323" s="5"/>
      <c r="Q323" s="5"/>
      <c r="R323" s="20"/>
      <c r="S323" s="5"/>
      <c r="T323" s="5"/>
    </row>
    <row r="324" spans="1:20" ht="15.75" customHeight="1">
      <c r="A324" s="19" t="str">
        <f t="shared" si="0"/>
        <v/>
      </c>
      <c r="B324" s="6"/>
      <c r="C324" s="20"/>
      <c r="D324" s="5"/>
      <c r="E324" s="7" t="str">
        <f t="array" ref="E324">IFERROR(INDEX(Base_Estudiantes!$A$4:$A$505,MATCH(D324,Base_Estudiantes!$C$4:$C$505,0)),"")</f>
        <v/>
      </c>
      <c r="F324" s="7" t="str">
        <f t="array" ref="F324">IFERROR(INDEX(Base_Estudiantes!$B$4:$B$505,MATCH(D324,Base_Estudiantes!$C$4:$C$505,0)),"")</f>
        <v/>
      </c>
      <c r="G324" s="7" t="str">
        <f t="array" ref="G324">IFERROR(INDEX(Base_Estudiantes!$D$4:$D$505,MATCH(D324,Base_Estudiantes!$C$4:$C$505,0)),"")</f>
        <v/>
      </c>
      <c r="H324" s="7" t="str">
        <f t="array" ref="H324">IFERROR(INDEX(Base_Estudiantes!$F$4:$F$505,MATCH(D324,Base_Estudiantes!$C$4:$C$505,0)),"")</f>
        <v/>
      </c>
      <c r="I324" s="7" t="str">
        <f t="array" ref="I324">IFERROR(INDEX(Base_Estudiantes!$G$4:$G$505,MATCH(D324,Base_Estudiantes!$C$4:$C$505,0)),"")</f>
        <v/>
      </c>
      <c r="J324" s="7" t="str">
        <f t="array" ref="J324">IFERROR(INDEX(Base_Estudiantes!$H$4:$H$505,MATCH(D324,Base_Estudiantes!$C$4:$C$505,0)),"")</f>
        <v/>
      </c>
      <c r="K324" s="5"/>
      <c r="L324" s="5"/>
      <c r="M324" s="5"/>
      <c r="N324" s="5"/>
      <c r="O324" s="5"/>
      <c r="P324" s="5"/>
      <c r="Q324" s="5"/>
      <c r="R324" s="20"/>
      <c r="S324" s="5"/>
      <c r="T324" s="5"/>
    </row>
    <row r="325" spans="1:20" ht="15.75" customHeight="1">
      <c r="A325" s="19" t="str">
        <f t="shared" si="0"/>
        <v/>
      </c>
      <c r="B325" s="6"/>
      <c r="C325" s="20"/>
      <c r="D325" s="5"/>
      <c r="E325" s="7" t="str">
        <f t="array" ref="E325">IFERROR(INDEX(Base_Estudiantes!$A$4:$A$505,MATCH(D325,Base_Estudiantes!$C$4:$C$505,0)),"")</f>
        <v/>
      </c>
      <c r="F325" s="7" t="str">
        <f t="array" ref="F325">IFERROR(INDEX(Base_Estudiantes!$B$4:$B$505,MATCH(D325,Base_Estudiantes!$C$4:$C$505,0)),"")</f>
        <v/>
      </c>
      <c r="G325" s="7" t="str">
        <f t="array" ref="G325">IFERROR(INDEX(Base_Estudiantes!$D$4:$D$505,MATCH(D325,Base_Estudiantes!$C$4:$C$505,0)),"")</f>
        <v/>
      </c>
      <c r="H325" s="7" t="str">
        <f t="array" ref="H325">IFERROR(INDEX(Base_Estudiantes!$F$4:$F$505,MATCH(D325,Base_Estudiantes!$C$4:$C$505,0)),"")</f>
        <v/>
      </c>
      <c r="I325" s="7" t="str">
        <f t="array" ref="I325">IFERROR(INDEX(Base_Estudiantes!$G$4:$G$505,MATCH(D325,Base_Estudiantes!$C$4:$C$505,0)),"")</f>
        <v/>
      </c>
      <c r="J325" s="7" t="str">
        <f t="array" ref="J325">IFERROR(INDEX(Base_Estudiantes!$H$4:$H$505,MATCH(D325,Base_Estudiantes!$C$4:$C$505,0)),"")</f>
        <v/>
      </c>
      <c r="K325" s="5"/>
      <c r="L325" s="5"/>
      <c r="M325" s="5"/>
      <c r="N325" s="5"/>
      <c r="O325" s="5"/>
      <c r="P325" s="5"/>
      <c r="Q325" s="5"/>
      <c r="R325" s="20"/>
      <c r="S325" s="5"/>
      <c r="T325" s="5"/>
    </row>
    <row r="326" spans="1:20" ht="15.75" customHeight="1">
      <c r="A326" s="19" t="str">
        <f t="shared" si="0"/>
        <v/>
      </c>
      <c r="B326" s="6"/>
      <c r="C326" s="20"/>
      <c r="D326" s="5"/>
      <c r="E326" s="7" t="str">
        <f t="array" ref="E326">IFERROR(INDEX(Base_Estudiantes!$A$4:$A$505,MATCH(D326,Base_Estudiantes!$C$4:$C$505,0)),"")</f>
        <v/>
      </c>
      <c r="F326" s="7" t="str">
        <f t="array" ref="F326">IFERROR(INDEX(Base_Estudiantes!$B$4:$B$505,MATCH(D326,Base_Estudiantes!$C$4:$C$505,0)),"")</f>
        <v/>
      </c>
      <c r="G326" s="7" t="str">
        <f t="array" ref="G326">IFERROR(INDEX(Base_Estudiantes!$D$4:$D$505,MATCH(D326,Base_Estudiantes!$C$4:$C$505,0)),"")</f>
        <v/>
      </c>
      <c r="H326" s="7" t="str">
        <f t="array" ref="H326">IFERROR(INDEX(Base_Estudiantes!$F$4:$F$505,MATCH(D326,Base_Estudiantes!$C$4:$C$505,0)),"")</f>
        <v/>
      </c>
      <c r="I326" s="7" t="str">
        <f t="array" ref="I326">IFERROR(INDEX(Base_Estudiantes!$G$4:$G$505,MATCH(D326,Base_Estudiantes!$C$4:$C$505,0)),"")</f>
        <v/>
      </c>
      <c r="J326" s="7" t="str">
        <f t="array" ref="J326">IFERROR(INDEX(Base_Estudiantes!$H$4:$H$505,MATCH(D326,Base_Estudiantes!$C$4:$C$505,0)),"")</f>
        <v/>
      </c>
      <c r="K326" s="5"/>
      <c r="L326" s="5"/>
      <c r="M326" s="5"/>
      <c r="N326" s="5"/>
      <c r="O326" s="5"/>
      <c r="P326" s="5"/>
      <c r="Q326" s="5"/>
      <c r="R326" s="20"/>
      <c r="S326" s="5"/>
      <c r="T326" s="5"/>
    </row>
    <row r="327" spans="1:20" ht="15.75" customHeight="1">
      <c r="A327" s="19" t="str">
        <f t="shared" si="0"/>
        <v/>
      </c>
      <c r="B327" s="6"/>
      <c r="C327" s="20"/>
      <c r="D327" s="5"/>
      <c r="E327" s="7" t="str">
        <f t="array" ref="E327">IFERROR(INDEX(Base_Estudiantes!$A$4:$A$505,MATCH(D327,Base_Estudiantes!$C$4:$C$505,0)),"")</f>
        <v/>
      </c>
      <c r="F327" s="7" t="str">
        <f t="array" ref="F327">IFERROR(INDEX(Base_Estudiantes!$B$4:$B$505,MATCH(D327,Base_Estudiantes!$C$4:$C$505,0)),"")</f>
        <v/>
      </c>
      <c r="G327" s="7" t="str">
        <f t="array" ref="G327">IFERROR(INDEX(Base_Estudiantes!$D$4:$D$505,MATCH(D327,Base_Estudiantes!$C$4:$C$505,0)),"")</f>
        <v/>
      </c>
      <c r="H327" s="7" t="str">
        <f t="array" ref="H327">IFERROR(INDEX(Base_Estudiantes!$F$4:$F$505,MATCH(D327,Base_Estudiantes!$C$4:$C$505,0)),"")</f>
        <v/>
      </c>
      <c r="I327" s="7" t="str">
        <f t="array" ref="I327">IFERROR(INDEX(Base_Estudiantes!$G$4:$G$505,MATCH(D327,Base_Estudiantes!$C$4:$C$505,0)),"")</f>
        <v/>
      </c>
      <c r="J327" s="7" t="str">
        <f t="array" ref="J327">IFERROR(INDEX(Base_Estudiantes!$H$4:$H$505,MATCH(D327,Base_Estudiantes!$C$4:$C$505,0)),"")</f>
        <v/>
      </c>
      <c r="K327" s="5"/>
      <c r="L327" s="5"/>
      <c r="M327" s="5"/>
      <c r="N327" s="5"/>
      <c r="O327" s="5"/>
      <c r="P327" s="5"/>
      <c r="Q327" s="5"/>
      <c r="R327" s="20"/>
      <c r="S327" s="5"/>
      <c r="T327" s="5"/>
    </row>
    <row r="328" spans="1:20" ht="15.75" customHeight="1">
      <c r="A328" s="19" t="str">
        <f t="shared" si="0"/>
        <v/>
      </c>
      <c r="B328" s="6"/>
      <c r="C328" s="20"/>
      <c r="D328" s="5"/>
      <c r="E328" s="7" t="str">
        <f t="array" ref="E328">IFERROR(INDEX(Base_Estudiantes!$A$4:$A$505,MATCH(D328,Base_Estudiantes!$C$4:$C$505,0)),"")</f>
        <v/>
      </c>
      <c r="F328" s="7" t="str">
        <f t="array" ref="F328">IFERROR(INDEX(Base_Estudiantes!$B$4:$B$505,MATCH(D328,Base_Estudiantes!$C$4:$C$505,0)),"")</f>
        <v/>
      </c>
      <c r="G328" s="7" t="str">
        <f t="array" ref="G328">IFERROR(INDEX(Base_Estudiantes!$D$4:$D$505,MATCH(D328,Base_Estudiantes!$C$4:$C$505,0)),"")</f>
        <v/>
      </c>
      <c r="H328" s="7" t="str">
        <f t="array" ref="H328">IFERROR(INDEX(Base_Estudiantes!$F$4:$F$505,MATCH(D328,Base_Estudiantes!$C$4:$C$505,0)),"")</f>
        <v/>
      </c>
      <c r="I328" s="7" t="str">
        <f t="array" ref="I328">IFERROR(INDEX(Base_Estudiantes!$G$4:$G$505,MATCH(D328,Base_Estudiantes!$C$4:$C$505,0)),"")</f>
        <v/>
      </c>
      <c r="J328" s="7" t="str">
        <f t="array" ref="J328">IFERROR(INDEX(Base_Estudiantes!$H$4:$H$505,MATCH(D328,Base_Estudiantes!$C$4:$C$505,0)),"")</f>
        <v/>
      </c>
      <c r="K328" s="5"/>
      <c r="L328" s="5"/>
      <c r="M328" s="5"/>
      <c r="N328" s="5"/>
      <c r="O328" s="5"/>
      <c r="P328" s="5"/>
      <c r="Q328" s="5"/>
      <c r="R328" s="20"/>
      <c r="S328" s="5"/>
      <c r="T328" s="5"/>
    </row>
    <row r="329" spans="1:20" ht="15.75" customHeight="1">
      <c r="A329" s="19" t="str">
        <f t="shared" si="0"/>
        <v/>
      </c>
      <c r="B329" s="6"/>
      <c r="C329" s="20"/>
      <c r="D329" s="5"/>
      <c r="E329" s="7" t="str">
        <f t="array" ref="E329">IFERROR(INDEX(Base_Estudiantes!$A$4:$A$505,MATCH(D329,Base_Estudiantes!$C$4:$C$505,0)),"")</f>
        <v/>
      </c>
      <c r="F329" s="7" t="str">
        <f t="array" ref="F329">IFERROR(INDEX(Base_Estudiantes!$B$4:$B$505,MATCH(D329,Base_Estudiantes!$C$4:$C$505,0)),"")</f>
        <v/>
      </c>
      <c r="G329" s="7" t="str">
        <f t="array" ref="G329">IFERROR(INDEX(Base_Estudiantes!$D$4:$D$505,MATCH(D329,Base_Estudiantes!$C$4:$C$505,0)),"")</f>
        <v/>
      </c>
      <c r="H329" s="7" t="str">
        <f t="array" ref="H329">IFERROR(INDEX(Base_Estudiantes!$F$4:$F$505,MATCH(D329,Base_Estudiantes!$C$4:$C$505,0)),"")</f>
        <v/>
      </c>
      <c r="I329" s="7" t="str">
        <f t="array" ref="I329">IFERROR(INDEX(Base_Estudiantes!$G$4:$G$505,MATCH(D329,Base_Estudiantes!$C$4:$C$505,0)),"")</f>
        <v/>
      </c>
      <c r="J329" s="7" t="str">
        <f t="array" ref="J329">IFERROR(INDEX(Base_Estudiantes!$H$4:$H$505,MATCH(D329,Base_Estudiantes!$C$4:$C$505,0)),"")</f>
        <v/>
      </c>
      <c r="K329" s="5"/>
      <c r="L329" s="5"/>
      <c r="M329" s="5"/>
      <c r="N329" s="5"/>
      <c r="O329" s="5"/>
      <c r="P329" s="5"/>
      <c r="Q329" s="5"/>
      <c r="R329" s="20"/>
      <c r="S329" s="5"/>
      <c r="T329" s="5"/>
    </row>
    <row r="330" spans="1:20" ht="15.75" customHeight="1">
      <c r="A330" s="19" t="str">
        <f t="shared" si="0"/>
        <v/>
      </c>
      <c r="B330" s="6"/>
      <c r="C330" s="20"/>
      <c r="D330" s="5"/>
      <c r="E330" s="7" t="str">
        <f t="array" ref="E330">IFERROR(INDEX(Base_Estudiantes!$A$4:$A$505,MATCH(D330,Base_Estudiantes!$C$4:$C$505,0)),"")</f>
        <v/>
      </c>
      <c r="F330" s="7" t="str">
        <f t="array" ref="F330">IFERROR(INDEX(Base_Estudiantes!$B$4:$B$505,MATCH(D330,Base_Estudiantes!$C$4:$C$505,0)),"")</f>
        <v/>
      </c>
      <c r="G330" s="7" t="str">
        <f t="array" ref="G330">IFERROR(INDEX(Base_Estudiantes!$D$4:$D$505,MATCH(D330,Base_Estudiantes!$C$4:$C$505,0)),"")</f>
        <v/>
      </c>
      <c r="H330" s="7" t="str">
        <f t="array" ref="H330">IFERROR(INDEX(Base_Estudiantes!$F$4:$F$505,MATCH(D330,Base_Estudiantes!$C$4:$C$505,0)),"")</f>
        <v/>
      </c>
      <c r="I330" s="7" t="str">
        <f t="array" ref="I330">IFERROR(INDEX(Base_Estudiantes!$G$4:$G$505,MATCH(D330,Base_Estudiantes!$C$4:$C$505,0)),"")</f>
        <v/>
      </c>
      <c r="J330" s="7" t="str">
        <f t="array" ref="J330">IFERROR(INDEX(Base_Estudiantes!$H$4:$H$505,MATCH(D330,Base_Estudiantes!$C$4:$C$505,0)),"")</f>
        <v/>
      </c>
      <c r="K330" s="5"/>
      <c r="L330" s="5"/>
      <c r="M330" s="5"/>
      <c r="N330" s="5"/>
      <c r="O330" s="5"/>
      <c r="P330" s="5"/>
      <c r="Q330" s="5"/>
      <c r="R330" s="20"/>
      <c r="S330" s="5"/>
      <c r="T330" s="5"/>
    </row>
    <row r="331" spans="1:20" ht="15.75" customHeight="1">
      <c r="A331" s="19" t="str">
        <f t="shared" si="0"/>
        <v/>
      </c>
      <c r="B331" s="6"/>
      <c r="C331" s="20"/>
      <c r="D331" s="5"/>
      <c r="E331" s="7" t="str">
        <f t="array" ref="E331">IFERROR(INDEX(Base_Estudiantes!$A$4:$A$505,MATCH(D331,Base_Estudiantes!$C$4:$C$505,0)),"")</f>
        <v/>
      </c>
      <c r="F331" s="7" t="str">
        <f t="array" ref="F331">IFERROR(INDEX(Base_Estudiantes!$B$4:$B$505,MATCH(D331,Base_Estudiantes!$C$4:$C$505,0)),"")</f>
        <v/>
      </c>
      <c r="G331" s="7" t="str">
        <f t="array" ref="G331">IFERROR(INDEX(Base_Estudiantes!$D$4:$D$505,MATCH(D331,Base_Estudiantes!$C$4:$C$505,0)),"")</f>
        <v/>
      </c>
      <c r="H331" s="7" t="str">
        <f t="array" ref="H331">IFERROR(INDEX(Base_Estudiantes!$F$4:$F$505,MATCH(D331,Base_Estudiantes!$C$4:$C$505,0)),"")</f>
        <v/>
      </c>
      <c r="I331" s="7" t="str">
        <f t="array" ref="I331">IFERROR(INDEX(Base_Estudiantes!$G$4:$G$505,MATCH(D331,Base_Estudiantes!$C$4:$C$505,0)),"")</f>
        <v/>
      </c>
      <c r="J331" s="7" t="str">
        <f t="array" ref="J331">IFERROR(INDEX(Base_Estudiantes!$H$4:$H$505,MATCH(D331,Base_Estudiantes!$C$4:$C$505,0)),"")</f>
        <v/>
      </c>
      <c r="K331" s="5"/>
      <c r="L331" s="5"/>
      <c r="M331" s="5"/>
      <c r="N331" s="5"/>
      <c r="O331" s="5"/>
      <c r="P331" s="5"/>
      <c r="Q331" s="5"/>
      <c r="R331" s="20"/>
      <c r="S331" s="5"/>
      <c r="T331" s="5"/>
    </row>
    <row r="332" spans="1:20" ht="15.75" customHeight="1">
      <c r="A332" s="19" t="str">
        <f t="shared" si="0"/>
        <v/>
      </c>
      <c r="B332" s="6"/>
      <c r="C332" s="20"/>
      <c r="D332" s="5"/>
      <c r="E332" s="7" t="str">
        <f t="array" ref="E332">IFERROR(INDEX(Base_Estudiantes!$A$4:$A$505,MATCH(D332,Base_Estudiantes!$C$4:$C$505,0)),"")</f>
        <v/>
      </c>
      <c r="F332" s="7" t="str">
        <f t="array" ref="F332">IFERROR(INDEX(Base_Estudiantes!$B$4:$B$505,MATCH(D332,Base_Estudiantes!$C$4:$C$505,0)),"")</f>
        <v/>
      </c>
      <c r="G332" s="7" t="str">
        <f t="array" ref="G332">IFERROR(INDEX(Base_Estudiantes!$D$4:$D$505,MATCH(D332,Base_Estudiantes!$C$4:$C$505,0)),"")</f>
        <v/>
      </c>
      <c r="H332" s="7" t="str">
        <f t="array" ref="H332">IFERROR(INDEX(Base_Estudiantes!$F$4:$F$505,MATCH(D332,Base_Estudiantes!$C$4:$C$505,0)),"")</f>
        <v/>
      </c>
      <c r="I332" s="7" t="str">
        <f t="array" ref="I332">IFERROR(INDEX(Base_Estudiantes!$G$4:$G$505,MATCH(D332,Base_Estudiantes!$C$4:$C$505,0)),"")</f>
        <v/>
      </c>
      <c r="J332" s="7" t="str">
        <f t="array" ref="J332">IFERROR(INDEX(Base_Estudiantes!$H$4:$H$505,MATCH(D332,Base_Estudiantes!$C$4:$C$505,0)),"")</f>
        <v/>
      </c>
      <c r="K332" s="5"/>
      <c r="L332" s="5"/>
      <c r="M332" s="5"/>
      <c r="N332" s="5"/>
      <c r="O332" s="5"/>
      <c r="P332" s="5"/>
      <c r="Q332" s="5"/>
      <c r="R332" s="20"/>
      <c r="S332" s="5"/>
      <c r="T332" s="5"/>
    </row>
    <row r="333" spans="1:20" ht="15.75" customHeight="1">
      <c r="A333" s="19" t="str">
        <f t="shared" si="0"/>
        <v/>
      </c>
      <c r="B333" s="6"/>
      <c r="C333" s="20"/>
      <c r="D333" s="5"/>
      <c r="E333" s="7" t="str">
        <f t="array" ref="E333">IFERROR(INDEX(Base_Estudiantes!$A$4:$A$505,MATCH(D333,Base_Estudiantes!$C$4:$C$505,0)),"")</f>
        <v/>
      </c>
      <c r="F333" s="7" t="str">
        <f t="array" ref="F333">IFERROR(INDEX(Base_Estudiantes!$B$4:$B$505,MATCH(D333,Base_Estudiantes!$C$4:$C$505,0)),"")</f>
        <v/>
      </c>
      <c r="G333" s="7" t="str">
        <f t="array" ref="G333">IFERROR(INDEX(Base_Estudiantes!$D$4:$D$505,MATCH(D333,Base_Estudiantes!$C$4:$C$505,0)),"")</f>
        <v/>
      </c>
      <c r="H333" s="7" t="str">
        <f t="array" ref="H333">IFERROR(INDEX(Base_Estudiantes!$F$4:$F$505,MATCH(D333,Base_Estudiantes!$C$4:$C$505,0)),"")</f>
        <v/>
      </c>
      <c r="I333" s="7" t="str">
        <f t="array" ref="I333">IFERROR(INDEX(Base_Estudiantes!$G$4:$G$505,MATCH(D333,Base_Estudiantes!$C$4:$C$505,0)),"")</f>
        <v/>
      </c>
      <c r="J333" s="7" t="str">
        <f t="array" ref="J333">IFERROR(INDEX(Base_Estudiantes!$H$4:$H$505,MATCH(D333,Base_Estudiantes!$C$4:$C$505,0)),"")</f>
        <v/>
      </c>
      <c r="K333" s="5"/>
      <c r="L333" s="5"/>
      <c r="M333" s="5"/>
      <c r="N333" s="5"/>
      <c r="O333" s="5"/>
      <c r="P333" s="5"/>
      <c r="Q333" s="5"/>
      <c r="R333" s="20"/>
      <c r="S333" s="5"/>
      <c r="T333" s="5"/>
    </row>
    <row r="334" spans="1:20" ht="15.75" customHeight="1">
      <c r="A334" s="19" t="str">
        <f t="shared" si="0"/>
        <v/>
      </c>
      <c r="B334" s="6"/>
      <c r="C334" s="20"/>
      <c r="D334" s="5"/>
      <c r="E334" s="7" t="str">
        <f t="array" ref="E334">IFERROR(INDEX(Base_Estudiantes!$A$4:$A$505,MATCH(D334,Base_Estudiantes!$C$4:$C$505,0)),"")</f>
        <v/>
      </c>
      <c r="F334" s="7" t="str">
        <f t="array" ref="F334">IFERROR(INDEX(Base_Estudiantes!$B$4:$B$505,MATCH(D334,Base_Estudiantes!$C$4:$C$505,0)),"")</f>
        <v/>
      </c>
      <c r="G334" s="7" t="str">
        <f t="array" ref="G334">IFERROR(INDEX(Base_Estudiantes!$D$4:$D$505,MATCH(D334,Base_Estudiantes!$C$4:$C$505,0)),"")</f>
        <v/>
      </c>
      <c r="H334" s="7" t="str">
        <f t="array" ref="H334">IFERROR(INDEX(Base_Estudiantes!$F$4:$F$505,MATCH(D334,Base_Estudiantes!$C$4:$C$505,0)),"")</f>
        <v/>
      </c>
      <c r="I334" s="7" t="str">
        <f t="array" ref="I334">IFERROR(INDEX(Base_Estudiantes!$G$4:$G$505,MATCH(D334,Base_Estudiantes!$C$4:$C$505,0)),"")</f>
        <v/>
      </c>
      <c r="J334" s="7" t="str">
        <f t="array" ref="J334">IFERROR(INDEX(Base_Estudiantes!$H$4:$H$505,MATCH(D334,Base_Estudiantes!$C$4:$C$505,0)),"")</f>
        <v/>
      </c>
      <c r="K334" s="5"/>
      <c r="L334" s="5"/>
      <c r="M334" s="5"/>
      <c r="N334" s="5"/>
      <c r="O334" s="5"/>
      <c r="P334" s="5"/>
      <c r="Q334" s="5"/>
      <c r="R334" s="20"/>
      <c r="S334" s="5"/>
      <c r="T334" s="5"/>
    </row>
    <row r="335" spans="1:20" ht="15.75" customHeight="1">
      <c r="A335" s="19" t="str">
        <f t="shared" si="0"/>
        <v/>
      </c>
      <c r="B335" s="6"/>
      <c r="C335" s="20"/>
      <c r="D335" s="5"/>
      <c r="E335" s="7" t="str">
        <f t="array" ref="E335">IFERROR(INDEX(Base_Estudiantes!$A$4:$A$505,MATCH(D335,Base_Estudiantes!$C$4:$C$505,0)),"")</f>
        <v/>
      </c>
      <c r="F335" s="7" t="str">
        <f t="array" ref="F335">IFERROR(INDEX(Base_Estudiantes!$B$4:$B$505,MATCH(D335,Base_Estudiantes!$C$4:$C$505,0)),"")</f>
        <v/>
      </c>
      <c r="G335" s="7" t="str">
        <f t="array" ref="G335">IFERROR(INDEX(Base_Estudiantes!$D$4:$D$505,MATCH(D335,Base_Estudiantes!$C$4:$C$505,0)),"")</f>
        <v/>
      </c>
      <c r="H335" s="7" t="str">
        <f t="array" ref="H335">IFERROR(INDEX(Base_Estudiantes!$F$4:$F$505,MATCH(D335,Base_Estudiantes!$C$4:$C$505,0)),"")</f>
        <v/>
      </c>
      <c r="I335" s="7" t="str">
        <f t="array" ref="I335">IFERROR(INDEX(Base_Estudiantes!$G$4:$G$505,MATCH(D335,Base_Estudiantes!$C$4:$C$505,0)),"")</f>
        <v/>
      </c>
      <c r="J335" s="7" t="str">
        <f t="array" ref="J335">IFERROR(INDEX(Base_Estudiantes!$H$4:$H$505,MATCH(D335,Base_Estudiantes!$C$4:$C$505,0)),"")</f>
        <v/>
      </c>
      <c r="K335" s="5"/>
      <c r="L335" s="5"/>
      <c r="M335" s="5"/>
      <c r="N335" s="5"/>
      <c r="O335" s="5"/>
      <c r="P335" s="5"/>
      <c r="Q335" s="5"/>
      <c r="R335" s="20"/>
      <c r="S335" s="5"/>
      <c r="T335" s="5"/>
    </row>
    <row r="336" spans="1:20" ht="15.75" customHeight="1">
      <c r="A336" s="19" t="str">
        <f t="shared" si="0"/>
        <v/>
      </c>
      <c r="B336" s="6"/>
      <c r="C336" s="20"/>
      <c r="D336" s="5"/>
      <c r="E336" s="7" t="str">
        <f t="array" ref="E336">IFERROR(INDEX(Base_Estudiantes!$A$4:$A$505,MATCH(D336,Base_Estudiantes!$C$4:$C$505,0)),"")</f>
        <v/>
      </c>
      <c r="F336" s="7" t="str">
        <f t="array" ref="F336">IFERROR(INDEX(Base_Estudiantes!$B$4:$B$505,MATCH(D336,Base_Estudiantes!$C$4:$C$505,0)),"")</f>
        <v/>
      </c>
      <c r="G336" s="7" t="str">
        <f t="array" ref="G336">IFERROR(INDEX(Base_Estudiantes!$D$4:$D$505,MATCH(D336,Base_Estudiantes!$C$4:$C$505,0)),"")</f>
        <v/>
      </c>
      <c r="H336" s="7" t="str">
        <f t="array" ref="H336">IFERROR(INDEX(Base_Estudiantes!$F$4:$F$505,MATCH(D336,Base_Estudiantes!$C$4:$C$505,0)),"")</f>
        <v/>
      </c>
      <c r="I336" s="7" t="str">
        <f t="array" ref="I336">IFERROR(INDEX(Base_Estudiantes!$G$4:$G$505,MATCH(D336,Base_Estudiantes!$C$4:$C$505,0)),"")</f>
        <v/>
      </c>
      <c r="J336" s="7" t="str">
        <f t="array" ref="J336">IFERROR(INDEX(Base_Estudiantes!$H$4:$H$505,MATCH(D336,Base_Estudiantes!$C$4:$C$505,0)),"")</f>
        <v/>
      </c>
      <c r="K336" s="5"/>
      <c r="L336" s="5"/>
      <c r="M336" s="5"/>
      <c r="N336" s="5"/>
      <c r="O336" s="5"/>
      <c r="P336" s="5"/>
      <c r="Q336" s="5"/>
      <c r="R336" s="20"/>
      <c r="S336" s="5"/>
      <c r="T336" s="5"/>
    </row>
    <row r="337" spans="1:20" ht="15.75" customHeight="1">
      <c r="A337" s="19" t="str">
        <f t="shared" si="0"/>
        <v/>
      </c>
      <c r="B337" s="6"/>
      <c r="C337" s="20"/>
      <c r="D337" s="5"/>
      <c r="E337" s="7" t="str">
        <f t="array" ref="E337">IFERROR(INDEX(Base_Estudiantes!$A$4:$A$505,MATCH(D337,Base_Estudiantes!$C$4:$C$505,0)),"")</f>
        <v/>
      </c>
      <c r="F337" s="7" t="str">
        <f t="array" ref="F337">IFERROR(INDEX(Base_Estudiantes!$B$4:$B$505,MATCH(D337,Base_Estudiantes!$C$4:$C$505,0)),"")</f>
        <v/>
      </c>
      <c r="G337" s="7" t="str">
        <f t="array" ref="G337">IFERROR(INDEX(Base_Estudiantes!$D$4:$D$505,MATCH(D337,Base_Estudiantes!$C$4:$C$505,0)),"")</f>
        <v/>
      </c>
      <c r="H337" s="7" t="str">
        <f t="array" ref="H337">IFERROR(INDEX(Base_Estudiantes!$F$4:$F$505,MATCH(D337,Base_Estudiantes!$C$4:$C$505,0)),"")</f>
        <v/>
      </c>
      <c r="I337" s="7" t="str">
        <f t="array" ref="I337">IFERROR(INDEX(Base_Estudiantes!$G$4:$G$505,MATCH(D337,Base_Estudiantes!$C$4:$C$505,0)),"")</f>
        <v/>
      </c>
      <c r="J337" s="7" t="str">
        <f t="array" ref="J337">IFERROR(INDEX(Base_Estudiantes!$H$4:$H$505,MATCH(D337,Base_Estudiantes!$C$4:$C$505,0)),"")</f>
        <v/>
      </c>
      <c r="K337" s="5"/>
      <c r="L337" s="5"/>
      <c r="M337" s="5"/>
      <c r="N337" s="5"/>
      <c r="O337" s="5"/>
      <c r="P337" s="5"/>
      <c r="Q337" s="5"/>
      <c r="R337" s="20"/>
      <c r="S337" s="5"/>
      <c r="T337" s="5"/>
    </row>
    <row r="338" spans="1:20" ht="15.75" customHeight="1">
      <c r="A338" s="19" t="str">
        <f t="shared" si="0"/>
        <v/>
      </c>
      <c r="B338" s="6"/>
      <c r="C338" s="20"/>
      <c r="D338" s="5"/>
      <c r="E338" s="7" t="str">
        <f t="array" ref="E338">IFERROR(INDEX(Base_Estudiantes!$A$4:$A$505,MATCH(D338,Base_Estudiantes!$C$4:$C$505,0)),"")</f>
        <v/>
      </c>
      <c r="F338" s="7" t="str">
        <f t="array" ref="F338">IFERROR(INDEX(Base_Estudiantes!$B$4:$B$505,MATCH(D338,Base_Estudiantes!$C$4:$C$505,0)),"")</f>
        <v/>
      </c>
      <c r="G338" s="7" t="str">
        <f t="array" ref="G338">IFERROR(INDEX(Base_Estudiantes!$D$4:$D$505,MATCH(D338,Base_Estudiantes!$C$4:$C$505,0)),"")</f>
        <v/>
      </c>
      <c r="H338" s="7" t="str">
        <f t="array" ref="H338">IFERROR(INDEX(Base_Estudiantes!$F$4:$F$505,MATCH(D338,Base_Estudiantes!$C$4:$C$505,0)),"")</f>
        <v/>
      </c>
      <c r="I338" s="7" t="str">
        <f t="array" ref="I338">IFERROR(INDEX(Base_Estudiantes!$G$4:$G$505,MATCH(D338,Base_Estudiantes!$C$4:$C$505,0)),"")</f>
        <v/>
      </c>
      <c r="J338" s="7" t="str">
        <f t="array" ref="J338">IFERROR(INDEX(Base_Estudiantes!$H$4:$H$505,MATCH(D338,Base_Estudiantes!$C$4:$C$505,0)),"")</f>
        <v/>
      </c>
      <c r="K338" s="5"/>
      <c r="L338" s="5"/>
      <c r="M338" s="5"/>
      <c r="N338" s="5"/>
      <c r="O338" s="5"/>
      <c r="P338" s="5"/>
      <c r="Q338" s="5"/>
      <c r="R338" s="20"/>
      <c r="S338" s="5"/>
      <c r="T338" s="5"/>
    </row>
    <row r="339" spans="1:20" ht="15.75" customHeight="1">
      <c r="A339" s="19" t="str">
        <f t="shared" si="0"/>
        <v/>
      </c>
      <c r="B339" s="6"/>
      <c r="C339" s="20"/>
      <c r="D339" s="5"/>
      <c r="E339" s="7" t="str">
        <f t="array" ref="E339">IFERROR(INDEX(Base_Estudiantes!$A$4:$A$505,MATCH(D339,Base_Estudiantes!$C$4:$C$505,0)),"")</f>
        <v/>
      </c>
      <c r="F339" s="7" t="str">
        <f t="array" ref="F339">IFERROR(INDEX(Base_Estudiantes!$B$4:$B$505,MATCH(D339,Base_Estudiantes!$C$4:$C$505,0)),"")</f>
        <v/>
      </c>
      <c r="G339" s="7" t="str">
        <f t="array" ref="G339">IFERROR(INDEX(Base_Estudiantes!$D$4:$D$505,MATCH(D339,Base_Estudiantes!$C$4:$C$505,0)),"")</f>
        <v/>
      </c>
      <c r="H339" s="7" t="str">
        <f t="array" ref="H339">IFERROR(INDEX(Base_Estudiantes!$F$4:$F$505,MATCH(D339,Base_Estudiantes!$C$4:$C$505,0)),"")</f>
        <v/>
      </c>
      <c r="I339" s="7" t="str">
        <f t="array" ref="I339">IFERROR(INDEX(Base_Estudiantes!$G$4:$G$505,MATCH(D339,Base_Estudiantes!$C$4:$C$505,0)),"")</f>
        <v/>
      </c>
      <c r="J339" s="7" t="str">
        <f t="array" ref="J339">IFERROR(INDEX(Base_Estudiantes!$H$4:$H$505,MATCH(D339,Base_Estudiantes!$C$4:$C$505,0)),"")</f>
        <v/>
      </c>
      <c r="K339" s="5"/>
      <c r="L339" s="5"/>
      <c r="M339" s="5"/>
      <c r="N339" s="5"/>
      <c r="O339" s="5"/>
      <c r="P339" s="5"/>
      <c r="Q339" s="5"/>
      <c r="R339" s="20"/>
      <c r="S339" s="5"/>
      <c r="T339" s="5"/>
    </row>
    <row r="340" spans="1:20" ht="15.75" customHeight="1">
      <c r="A340" s="19" t="str">
        <f t="shared" si="0"/>
        <v/>
      </c>
      <c r="B340" s="6"/>
      <c r="C340" s="20"/>
      <c r="D340" s="5"/>
      <c r="E340" s="7" t="str">
        <f t="array" ref="E340">IFERROR(INDEX(Base_Estudiantes!$A$4:$A$505,MATCH(D340,Base_Estudiantes!$C$4:$C$505,0)),"")</f>
        <v/>
      </c>
      <c r="F340" s="7" t="str">
        <f t="array" ref="F340">IFERROR(INDEX(Base_Estudiantes!$B$4:$B$505,MATCH(D340,Base_Estudiantes!$C$4:$C$505,0)),"")</f>
        <v/>
      </c>
      <c r="G340" s="7" t="str">
        <f t="array" ref="G340">IFERROR(INDEX(Base_Estudiantes!$D$4:$D$505,MATCH(D340,Base_Estudiantes!$C$4:$C$505,0)),"")</f>
        <v/>
      </c>
      <c r="H340" s="7" t="str">
        <f t="array" ref="H340">IFERROR(INDEX(Base_Estudiantes!$F$4:$F$505,MATCH(D340,Base_Estudiantes!$C$4:$C$505,0)),"")</f>
        <v/>
      </c>
      <c r="I340" s="7" t="str">
        <f t="array" ref="I340">IFERROR(INDEX(Base_Estudiantes!$G$4:$G$505,MATCH(D340,Base_Estudiantes!$C$4:$C$505,0)),"")</f>
        <v/>
      </c>
      <c r="J340" s="7" t="str">
        <f t="array" ref="J340">IFERROR(INDEX(Base_Estudiantes!$H$4:$H$505,MATCH(D340,Base_Estudiantes!$C$4:$C$505,0)),"")</f>
        <v/>
      </c>
      <c r="K340" s="5"/>
      <c r="L340" s="5"/>
      <c r="M340" s="5"/>
      <c r="N340" s="5"/>
      <c r="O340" s="5"/>
      <c r="P340" s="5"/>
      <c r="Q340" s="5"/>
      <c r="R340" s="20"/>
      <c r="S340" s="5"/>
      <c r="T340" s="5"/>
    </row>
    <row r="341" spans="1:20" ht="15.75" customHeight="1">
      <c r="A341" s="19" t="str">
        <f t="shared" si="0"/>
        <v/>
      </c>
      <c r="B341" s="6"/>
      <c r="C341" s="20"/>
      <c r="D341" s="5"/>
      <c r="E341" s="7" t="str">
        <f t="array" ref="E341">IFERROR(INDEX(Base_Estudiantes!$A$4:$A$505,MATCH(D341,Base_Estudiantes!$C$4:$C$505,0)),"")</f>
        <v/>
      </c>
      <c r="F341" s="7" t="str">
        <f t="array" ref="F341">IFERROR(INDEX(Base_Estudiantes!$B$4:$B$505,MATCH(D341,Base_Estudiantes!$C$4:$C$505,0)),"")</f>
        <v/>
      </c>
      <c r="G341" s="7" t="str">
        <f t="array" ref="G341">IFERROR(INDEX(Base_Estudiantes!$D$4:$D$505,MATCH(D341,Base_Estudiantes!$C$4:$C$505,0)),"")</f>
        <v/>
      </c>
      <c r="H341" s="7" t="str">
        <f t="array" ref="H341">IFERROR(INDEX(Base_Estudiantes!$F$4:$F$505,MATCH(D341,Base_Estudiantes!$C$4:$C$505,0)),"")</f>
        <v/>
      </c>
      <c r="I341" s="7" t="str">
        <f t="array" ref="I341">IFERROR(INDEX(Base_Estudiantes!$G$4:$G$505,MATCH(D341,Base_Estudiantes!$C$4:$C$505,0)),"")</f>
        <v/>
      </c>
      <c r="J341" s="7" t="str">
        <f t="array" ref="J341">IFERROR(INDEX(Base_Estudiantes!$H$4:$H$505,MATCH(D341,Base_Estudiantes!$C$4:$C$505,0)),"")</f>
        <v/>
      </c>
      <c r="K341" s="5"/>
      <c r="L341" s="5"/>
      <c r="M341" s="5"/>
      <c r="N341" s="5"/>
      <c r="O341" s="5"/>
      <c r="P341" s="5"/>
      <c r="Q341" s="5"/>
      <c r="R341" s="20"/>
      <c r="S341" s="5"/>
      <c r="T341" s="5"/>
    </row>
    <row r="342" spans="1:20" ht="15.75" customHeight="1">
      <c r="A342" s="19" t="str">
        <f t="shared" si="0"/>
        <v/>
      </c>
      <c r="B342" s="6"/>
      <c r="C342" s="20"/>
      <c r="D342" s="5"/>
      <c r="E342" s="7" t="str">
        <f t="array" ref="E342">IFERROR(INDEX(Base_Estudiantes!$A$4:$A$505,MATCH(D342,Base_Estudiantes!$C$4:$C$505,0)),"")</f>
        <v/>
      </c>
      <c r="F342" s="7" t="str">
        <f t="array" ref="F342">IFERROR(INDEX(Base_Estudiantes!$B$4:$B$505,MATCH(D342,Base_Estudiantes!$C$4:$C$505,0)),"")</f>
        <v/>
      </c>
      <c r="G342" s="7" t="str">
        <f t="array" ref="G342">IFERROR(INDEX(Base_Estudiantes!$D$4:$D$505,MATCH(D342,Base_Estudiantes!$C$4:$C$505,0)),"")</f>
        <v/>
      </c>
      <c r="H342" s="7" t="str">
        <f t="array" ref="H342">IFERROR(INDEX(Base_Estudiantes!$F$4:$F$505,MATCH(D342,Base_Estudiantes!$C$4:$C$505,0)),"")</f>
        <v/>
      </c>
      <c r="I342" s="7" t="str">
        <f t="array" ref="I342">IFERROR(INDEX(Base_Estudiantes!$G$4:$G$505,MATCH(D342,Base_Estudiantes!$C$4:$C$505,0)),"")</f>
        <v/>
      </c>
      <c r="J342" s="7" t="str">
        <f t="array" ref="J342">IFERROR(INDEX(Base_Estudiantes!$H$4:$H$505,MATCH(D342,Base_Estudiantes!$C$4:$C$505,0)),"")</f>
        <v/>
      </c>
      <c r="K342" s="5"/>
      <c r="L342" s="5"/>
      <c r="M342" s="5"/>
      <c r="N342" s="5"/>
      <c r="O342" s="5"/>
      <c r="P342" s="5"/>
      <c r="Q342" s="5"/>
      <c r="R342" s="20"/>
      <c r="S342" s="5"/>
      <c r="T342" s="5"/>
    </row>
    <row r="343" spans="1:20" ht="15.75" customHeight="1">
      <c r="A343" s="19" t="str">
        <f t="shared" si="0"/>
        <v/>
      </c>
      <c r="B343" s="6"/>
      <c r="C343" s="20"/>
      <c r="D343" s="5"/>
      <c r="E343" s="7" t="str">
        <f t="array" ref="E343">IFERROR(INDEX(Base_Estudiantes!$A$4:$A$505,MATCH(D343,Base_Estudiantes!$C$4:$C$505,0)),"")</f>
        <v/>
      </c>
      <c r="F343" s="7" t="str">
        <f t="array" ref="F343">IFERROR(INDEX(Base_Estudiantes!$B$4:$B$505,MATCH(D343,Base_Estudiantes!$C$4:$C$505,0)),"")</f>
        <v/>
      </c>
      <c r="G343" s="7" t="str">
        <f t="array" ref="G343">IFERROR(INDEX(Base_Estudiantes!$D$4:$D$505,MATCH(D343,Base_Estudiantes!$C$4:$C$505,0)),"")</f>
        <v/>
      </c>
      <c r="H343" s="7" t="str">
        <f t="array" ref="H343">IFERROR(INDEX(Base_Estudiantes!$F$4:$F$505,MATCH(D343,Base_Estudiantes!$C$4:$C$505,0)),"")</f>
        <v/>
      </c>
      <c r="I343" s="7" t="str">
        <f t="array" ref="I343">IFERROR(INDEX(Base_Estudiantes!$G$4:$G$505,MATCH(D343,Base_Estudiantes!$C$4:$C$505,0)),"")</f>
        <v/>
      </c>
      <c r="J343" s="7" t="str">
        <f t="array" ref="J343">IFERROR(INDEX(Base_Estudiantes!$H$4:$H$505,MATCH(D343,Base_Estudiantes!$C$4:$C$505,0)),"")</f>
        <v/>
      </c>
      <c r="K343" s="5"/>
      <c r="L343" s="5"/>
      <c r="M343" s="5"/>
      <c r="N343" s="5"/>
      <c r="O343" s="5"/>
      <c r="P343" s="5"/>
      <c r="Q343" s="5"/>
      <c r="R343" s="20"/>
      <c r="S343" s="5"/>
      <c r="T343" s="5"/>
    </row>
    <row r="344" spans="1:20" ht="15.75" customHeight="1">
      <c r="A344" s="19" t="str">
        <f t="shared" si="0"/>
        <v/>
      </c>
      <c r="B344" s="6"/>
      <c r="C344" s="20"/>
      <c r="D344" s="5"/>
      <c r="E344" s="7" t="str">
        <f t="array" ref="E344">IFERROR(INDEX(Base_Estudiantes!$A$4:$A$505,MATCH(D344,Base_Estudiantes!$C$4:$C$505,0)),"")</f>
        <v/>
      </c>
      <c r="F344" s="7" t="str">
        <f t="array" ref="F344">IFERROR(INDEX(Base_Estudiantes!$B$4:$B$505,MATCH(D344,Base_Estudiantes!$C$4:$C$505,0)),"")</f>
        <v/>
      </c>
      <c r="G344" s="7" t="str">
        <f t="array" ref="G344">IFERROR(INDEX(Base_Estudiantes!$D$4:$D$505,MATCH(D344,Base_Estudiantes!$C$4:$C$505,0)),"")</f>
        <v/>
      </c>
      <c r="H344" s="7" t="str">
        <f t="array" ref="H344">IFERROR(INDEX(Base_Estudiantes!$F$4:$F$505,MATCH(D344,Base_Estudiantes!$C$4:$C$505,0)),"")</f>
        <v/>
      </c>
      <c r="I344" s="7" t="str">
        <f t="array" ref="I344">IFERROR(INDEX(Base_Estudiantes!$G$4:$G$505,MATCH(D344,Base_Estudiantes!$C$4:$C$505,0)),"")</f>
        <v/>
      </c>
      <c r="J344" s="7" t="str">
        <f t="array" ref="J344">IFERROR(INDEX(Base_Estudiantes!$H$4:$H$505,MATCH(D344,Base_Estudiantes!$C$4:$C$505,0)),"")</f>
        <v/>
      </c>
      <c r="K344" s="5"/>
      <c r="L344" s="5"/>
      <c r="M344" s="5"/>
      <c r="N344" s="5"/>
      <c r="O344" s="5"/>
      <c r="P344" s="5"/>
      <c r="Q344" s="5"/>
      <c r="R344" s="20"/>
      <c r="S344" s="5"/>
      <c r="T344" s="5"/>
    </row>
    <row r="345" spans="1:20" ht="15.75" customHeight="1">
      <c r="A345" s="19" t="str">
        <f t="shared" si="0"/>
        <v/>
      </c>
      <c r="B345" s="6"/>
      <c r="C345" s="20"/>
      <c r="D345" s="5"/>
      <c r="E345" s="7" t="str">
        <f t="array" ref="E345">IFERROR(INDEX(Base_Estudiantes!$A$4:$A$505,MATCH(D345,Base_Estudiantes!$C$4:$C$505,0)),"")</f>
        <v/>
      </c>
      <c r="F345" s="7" t="str">
        <f t="array" ref="F345">IFERROR(INDEX(Base_Estudiantes!$B$4:$B$505,MATCH(D345,Base_Estudiantes!$C$4:$C$505,0)),"")</f>
        <v/>
      </c>
      <c r="G345" s="7" t="str">
        <f t="array" ref="G345">IFERROR(INDEX(Base_Estudiantes!$D$4:$D$505,MATCH(D345,Base_Estudiantes!$C$4:$C$505,0)),"")</f>
        <v/>
      </c>
      <c r="H345" s="7" t="str">
        <f t="array" ref="H345">IFERROR(INDEX(Base_Estudiantes!$F$4:$F$505,MATCH(D345,Base_Estudiantes!$C$4:$C$505,0)),"")</f>
        <v/>
      </c>
      <c r="I345" s="7" t="str">
        <f t="array" ref="I345">IFERROR(INDEX(Base_Estudiantes!$G$4:$G$505,MATCH(D345,Base_Estudiantes!$C$4:$C$505,0)),"")</f>
        <v/>
      </c>
      <c r="J345" s="7" t="str">
        <f t="array" ref="J345">IFERROR(INDEX(Base_Estudiantes!$H$4:$H$505,MATCH(D345,Base_Estudiantes!$C$4:$C$505,0)),"")</f>
        <v/>
      </c>
      <c r="K345" s="5"/>
      <c r="L345" s="5"/>
      <c r="M345" s="5"/>
      <c r="N345" s="5"/>
      <c r="O345" s="5"/>
      <c r="P345" s="5"/>
      <c r="Q345" s="5"/>
      <c r="R345" s="20"/>
      <c r="S345" s="5"/>
      <c r="T345" s="5"/>
    </row>
    <row r="346" spans="1:20" ht="15.75" customHeight="1">
      <c r="A346" s="19" t="str">
        <f t="shared" si="0"/>
        <v/>
      </c>
      <c r="B346" s="6"/>
      <c r="C346" s="20"/>
      <c r="D346" s="5"/>
      <c r="E346" s="7" t="str">
        <f t="array" ref="E346">IFERROR(INDEX(Base_Estudiantes!$A$4:$A$505,MATCH(D346,Base_Estudiantes!$C$4:$C$505,0)),"")</f>
        <v/>
      </c>
      <c r="F346" s="7" t="str">
        <f t="array" ref="F346">IFERROR(INDEX(Base_Estudiantes!$B$4:$B$505,MATCH(D346,Base_Estudiantes!$C$4:$C$505,0)),"")</f>
        <v/>
      </c>
      <c r="G346" s="7" t="str">
        <f t="array" ref="G346">IFERROR(INDEX(Base_Estudiantes!$D$4:$D$505,MATCH(D346,Base_Estudiantes!$C$4:$C$505,0)),"")</f>
        <v/>
      </c>
      <c r="H346" s="7" t="str">
        <f t="array" ref="H346">IFERROR(INDEX(Base_Estudiantes!$F$4:$F$505,MATCH(D346,Base_Estudiantes!$C$4:$C$505,0)),"")</f>
        <v/>
      </c>
      <c r="I346" s="7" t="str">
        <f t="array" ref="I346">IFERROR(INDEX(Base_Estudiantes!$G$4:$G$505,MATCH(D346,Base_Estudiantes!$C$4:$C$505,0)),"")</f>
        <v/>
      </c>
      <c r="J346" s="7" t="str">
        <f t="array" ref="J346">IFERROR(INDEX(Base_Estudiantes!$H$4:$H$505,MATCH(D346,Base_Estudiantes!$C$4:$C$505,0)),"")</f>
        <v/>
      </c>
      <c r="K346" s="5"/>
      <c r="L346" s="5"/>
      <c r="M346" s="5"/>
      <c r="N346" s="5"/>
      <c r="O346" s="5"/>
      <c r="P346" s="5"/>
      <c r="Q346" s="5"/>
      <c r="R346" s="20"/>
      <c r="S346" s="5"/>
      <c r="T346" s="5"/>
    </row>
    <row r="347" spans="1:20" ht="15.75" customHeight="1">
      <c r="A347" s="19" t="str">
        <f t="shared" si="0"/>
        <v/>
      </c>
      <c r="B347" s="6"/>
      <c r="C347" s="20"/>
      <c r="D347" s="5"/>
      <c r="E347" s="7" t="str">
        <f t="array" ref="E347">IFERROR(INDEX(Base_Estudiantes!$A$4:$A$505,MATCH(D347,Base_Estudiantes!$C$4:$C$505,0)),"")</f>
        <v/>
      </c>
      <c r="F347" s="7" t="str">
        <f t="array" ref="F347">IFERROR(INDEX(Base_Estudiantes!$B$4:$B$505,MATCH(D347,Base_Estudiantes!$C$4:$C$505,0)),"")</f>
        <v/>
      </c>
      <c r="G347" s="7" t="str">
        <f t="array" ref="G347">IFERROR(INDEX(Base_Estudiantes!$D$4:$D$505,MATCH(D347,Base_Estudiantes!$C$4:$C$505,0)),"")</f>
        <v/>
      </c>
      <c r="H347" s="7" t="str">
        <f t="array" ref="H347">IFERROR(INDEX(Base_Estudiantes!$F$4:$F$505,MATCH(D347,Base_Estudiantes!$C$4:$C$505,0)),"")</f>
        <v/>
      </c>
      <c r="I347" s="7" t="str">
        <f t="array" ref="I347">IFERROR(INDEX(Base_Estudiantes!$G$4:$G$505,MATCH(D347,Base_Estudiantes!$C$4:$C$505,0)),"")</f>
        <v/>
      </c>
      <c r="J347" s="7" t="str">
        <f t="array" ref="J347">IFERROR(INDEX(Base_Estudiantes!$H$4:$H$505,MATCH(D347,Base_Estudiantes!$C$4:$C$505,0)),"")</f>
        <v/>
      </c>
      <c r="K347" s="5"/>
      <c r="L347" s="5"/>
      <c r="M347" s="5"/>
      <c r="N347" s="5"/>
      <c r="O347" s="5"/>
      <c r="P347" s="5"/>
      <c r="Q347" s="5"/>
      <c r="R347" s="20"/>
      <c r="S347" s="5"/>
      <c r="T347" s="5"/>
    </row>
    <row r="348" spans="1:20" ht="15.75" customHeight="1">
      <c r="A348" s="19" t="str">
        <f t="shared" si="0"/>
        <v/>
      </c>
      <c r="B348" s="6"/>
      <c r="C348" s="20"/>
      <c r="D348" s="5"/>
      <c r="E348" s="7" t="str">
        <f t="array" ref="E348">IFERROR(INDEX(Base_Estudiantes!$A$4:$A$505,MATCH(D348,Base_Estudiantes!$C$4:$C$505,0)),"")</f>
        <v/>
      </c>
      <c r="F348" s="7" t="str">
        <f t="array" ref="F348">IFERROR(INDEX(Base_Estudiantes!$B$4:$B$505,MATCH(D348,Base_Estudiantes!$C$4:$C$505,0)),"")</f>
        <v/>
      </c>
      <c r="G348" s="7" t="str">
        <f t="array" ref="G348">IFERROR(INDEX(Base_Estudiantes!$D$4:$D$505,MATCH(D348,Base_Estudiantes!$C$4:$C$505,0)),"")</f>
        <v/>
      </c>
      <c r="H348" s="7" t="str">
        <f t="array" ref="H348">IFERROR(INDEX(Base_Estudiantes!$F$4:$F$505,MATCH(D348,Base_Estudiantes!$C$4:$C$505,0)),"")</f>
        <v/>
      </c>
      <c r="I348" s="7" t="str">
        <f t="array" ref="I348">IFERROR(INDEX(Base_Estudiantes!$G$4:$G$505,MATCH(D348,Base_Estudiantes!$C$4:$C$505,0)),"")</f>
        <v/>
      </c>
      <c r="J348" s="7" t="str">
        <f t="array" ref="J348">IFERROR(INDEX(Base_Estudiantes!$H$4:$H$505,MATCH(D348,Base_Estudiantes!$C$4:$C$505,0)),"")</f>
        <v/>
      </c>
      <c r="K348" s="5"/>
      <c r="L348" s="5"/>
      <c r="M348" s="5"/>
      <c r="N348" s="5"/>
      <c r="O348" s="5"/>
      <c r="P348" s="5"/>
      <c r="Q348" s="5"/>
      <c r="R348" s="20"/>
      <c r="S348" s="5"/>
      <c r="T348" s="5"/>
    </row>
    <row r="349" spans="1:20" ht="15.75" customHeight="1">
      <c r="A349" s="19" t="str">
        <f t="shared" si="0"/>
        <v/>
      </c>
      <c r="B349" s="6"/>
      <c r="C349" s="20"/>
      <c r="D349" s="5"/>
      <c r="E349" s="7" t="str">
        <f t="array" ref="E349">IFERROR(INDEX(Base_Estudiantes!$A$4:$A$505,MATCH(D349,Base_Estudiantes!$C$4:$C$505,0)),"")</f>
        <v/>
      </c>
      <c r="F349" s="7" t="str">
        <f t="array" ref="F349">IFERROR(INDEX(Base_Estudiantes!$B$4:$B$505,MATCH(D349,Base_Estudiantes!$C$4:$C$505,0)),"")</f>
        <v/>
      </c>
      <c r="G349" s="7" t="str">
        <f t="array" ref="G349">IFERROR(INDEX(Base_Estudiantes!$D$4:$D$505,MATCH(D349,Base_Estudiantes!$C$4:$C$505,0)),"")</f>
        <v/>
      </c>
      <c r="H349" s="7" t="str">
        <f t="array" ref="H349">IFERROR(INDEX(Base_Estudiantes!$F$4:$F$505,MATCH(D349,Base_Estudiantes!$C$4:$C$505,0)),"")</f>
        <v/>
      </c>
      <c r="I349" s="7" t="str">
        <f t="array" ref="I349">IFERROR(INDEX(Base_Estudiantes!$G$4:$G$505,MATCH(D349,Base_Estudiantes!$C$4:$C$505,0)),"")</f>
        <v/>
      </c>
      <c r="J349" s="7" t="str">
        <f t="array" ref="J349">IFERROR(INDEX(Base_Estudiantes!$H$4:$H$505,MATCH(D349,Base_Estudiantes!$C$4:$C$505,0)),"")</f>
        <v/>
      </c>
      <c r="K349" s="5"/>
      <c r="L349" s="5"/>
      <c r="M349" s="5"/>
      <c r="N349" s="5"/>
      <c r="O349" s="5"/>
      <c r="P349" s="5"/>
      <c r="Q349" s="5"/>
      <c r="R349" s="20"/>
      <c r="S349" s="5"/>
      <c r="T349" s="5"/>
    </row>
    <row r="350" spans="1:20" ht="15.75" customHeight="1">
      <c r="A350" s="19" t="str">
        <f t="shared" si="0"/>
        <v/>
      </c>
      <c r="B350" s="6"/>
      <c r="C350" s="20"/>
      <c r="D350" s="5"/>
      <c r="E350" s="7" t="str">
        <f t="array" ref="E350">IFERROR(INDEX(Base_Estudiantes!$A$4:$A$505,MATCH(D350,Base_Estudiantes!$C$4:$C$505,0)),"")</f>
        <v/>
      </c>
      <c r="F350" s="7" t="str">
        <f t="array" ref="F350">IFERROR(INDEX(Base_Estudiantes!$B$4:$B$505,MATCH(D350,Base_Estudiantes!$C$4:$C$505,0)),"")</f>
        <v/>
      </c>
      <c r="G350" s="7" t="str">
        <f t="array" ref="G350">IFERROR(INDEX(Base_Estudiantes!$D$4:$D$505,MATCH(D350,Base_Estudiantes!$C$4:$C$505,0)),"")</f>
        <v/>
      </c>
      <c r="H350" s="7" t="str">
        <f t="array" ref="H350">IFERROR(INDEX(Base_Estudiantes!$F$4:$F$505,MATCH(D350,Base_Estudiantes!$C$4:$C$505,0)),"")</f>
        <v/>
      </c>
      <c r="I350" s="7" t="str">
        <f t="array" ref="I350">IFERROR(INDEX(Base_Estudiantes!$G$4:$G$505,MATCH(D350,Base_Estudiantes!$C$4:$C$505,0)),"")</f>
        <v/>
      </c>
      <c r="J350" s="7" t="str">
        <f t="array" ref="J350">IFERROR(INDEX(Base_Estudiantes!$H$4:$H$505,MATCH(D350,Base_Estudiantes!$C$4:$C$505,0)),"")</f>
        <v/>
      </c>
      <c r="K350" s="5"/>
      <c r="L350" s="5"/>
      <c r="M350" s="5"/>
      <c r="N350" s="5"/>
      <c r="O350" s="5"/>
      <c r="P350" s="5"/>
      <c r="Q350" s="5"/>
      <c r="R350" s="20"/>
      <c r="S350" s="5"/>
      <c r="T350" s="5"/>
    </row>
    <row r="351" spans="1:20" ht="15.75" customHeight="1">
      <c r="A351" s="19" t="str">
        <f t="shared" si="0"/>
        <v/>
      </c>
      <c r="B351" s="6"/>
      <c r="C351" s="20"/>
      <c r="D351" s="5"/>
      <c r="E351" s="7" t="str">
        <f t="array" ref="E351">IFERROR(INDEX(Base_Estudiantes!$A$4:$A$505,MATCH(D351,Base_Estudiantes!$C$4:$C$505,0)),"")</f>
        <v/>
      </c>
      <c r="F351" s="7" t="str">
        <f t="array" ref="F351">IFERROR(INDEX(Base_Estudiantes!$B$4:$B$505,MATCH(D351,Base_Estudiantes!$C$4:$C$505,0)),"")</f>
        <v/>
      </c>
      <c r="G351" s="7" t="str">
        <f t="array" ref="G351">IFERROR(INDEX(Base_Estudiantes!$D$4:$D$505,MATCH(D351,Base_Estudiantes!$C$4:$C$505,0)),"")</f>
        <v/>
      </c>
      <c r="H351" s="7" t="str">
        <f t="array" ref="H351">IFERROR(INDEX(Base_Estudiantes!$F$4:$F$505,MATCH(D351,Base_Estudiantes!$C$4:$C$505,0)),"")</f>
        <v/>
      </c>
      <c r="I351" s="7" t="str">
        <f t="array" ref="I351">IFERROR(INDEX(Base_Estudiantes!$G$4:$G$505,MATCH(D351,Base_Estudiantes!$C$4:$C$505,0)),"")</f>
        <v/>
      </c>
      <c r="J351" s="7" t="str">
        <f t="array" ref="J351">IFERROR(INDEX(Base_Estudiantes!$H$4:$H$505,MATCH(D351,Base_Estudiantes!$C$4:$C$505,0)),"")</f>
        <v/>
      </c>
      <c r="K351" s="5"/>
      <c r="L351" s="5"/>
      <c r="M351" s="5"/>
      <c r="N351" s="5"/>
      <c r="O351" s="5"/>
      <c r="P351" s="5"/>
      <c r="Q351" s="5"/>
      <c r="R351" s="20"/>
      <c r="S351" s="5"/>
      <c r="T351" s="5"/>
    </row>
    <row r="352" spans="1:20" ht="15.75" customHeight="1">
      <c r="A352" s="19" t="str">
        <f t="shared" si="0"/>
        <v/>
      </c>
      <c r="B352" s="6"/>
      <c r="C352" s="20"/>
      <c r="D352" s="5"/>
      <c r="E352" s="7" t="str">
        <f t="array" ref="E352">IFERROR(INDEX(Base_Estudiantes!$A$4:$A$505,MATCH(D352,Base_Estudiantes!$C$4:$C$505,0)),"")</f>
        <v/>
      </c>
      <c r="F352" s="7" t="str">
        <f t="array" ref="F352">IFERROR(INDEX(Base_Estudiantes!$B$4:$B$505,MATCH(D352,Base_Estudiantes!$C$4:$C$505,0)),"")</f>
        <v/>
      </c>
      <c r="G352" s="7" t="str">
        <f t="array" ref="G352">IFERROR(INDEX(Base_Estudiantes!$D$4:$D$505,MATCH(D352,Base_Estudiantes!$C$4:$C$505,0)),"")</f>
        <v/>
      </c>
      <c r="H352" s="7" t="str">
        <f t="array" ref="H352">IFERROR(INDEX(Base_Estudiantes!$F$4:$F$505,MATCH(D352,Base_Estudiantes!$C$4:$C$505,0)),"")</f>
        <v/>
      </c>
      <c r="I352" s="7" t="str">
        <f t="array" ref="I352">IFERROR(INDEX(Base_Estudiantes!$G$4:$G$505,MATCH(D352,Base_Estudiantes!$C$4:$C$505,0)),"")</f>
        <v/>
      </c>
      <c r="J352" s="7" t="str">
        <f t="array" ref="J352">IFERROR(INDEX(Base_Estudiantes!$H$4:$H$505,MATCH(D352,Base_Estudiantes!$C$4:$C$505,0)),"")</f>
        <v/>
      </c>
      <c r="K352" s="5"/>
      <c r="L352" s="5"/>
      <c r="M352" s="5"/>
      <c r="N352" s="5"/>
      <c r="O352" s="5"/>
      <c r="P352" s="5"/>
      <c r="Q352" s="5"/>
      <c r="R352" s="20"/>
      <c r="S352" s="5"/>
      <c r="T352" s="5"/>
    </row>
    <row r="353" spans="1:20" ht="15.75" customHeight="1">
      <c r="A353" s="19" t="str">
        <f t="shared" si="0"/>
        <v/>
      </c>
      <c r="B353" s="6"/>
      <c r="C353" s="20"/>
      <c r="D353" s="5"/>
      <c r="E353" s="7" t="str">
        <f t="array" ref="E353">IFERROR(INDEX(Base_Estudiantes!$A$4:$A$505,MATCH(D353,Base_Estudiantes!$C$4:$C$505,0)),"")</f>
        <v/>
      </c>
      <c r="F353" s="7" t="str">
        <f t="array" ref="F353">IFERROR(INDEX(Base_Estudiantes!$B$4:$B$505,MATCH(D353,Base_Estudiantes!$C$4:$C$505,0)),"")</f>
        <v/>
      </c>
      <c r="G353" s="7" t="str">
        <f t="array" ref="G353">IFERROR(INDEX(Base_Estudiantes!$D$4:$D$505,MATCH(D353,Base_Estudiantes!$C$4:$C$505,0)),"")</f>
        <v/>
      </c>
      <c r="H353" s="7" t="str">
        <f t="array" ref="H353">IFERROR(INDEX(Base_Estudiantes!$F$4:$F$505,MATCH(D353,Base_Estudiantes!$C$4:$C$505,0)),"")</f>
        <v/>
      </c>
      <c r="I353" s="7" t="str">
        <f t="array" ref="I353">IFERROR(INDEX(Base_Estudiantes!$G$4:$G$505,MATCH(D353,Base_Estudiantes!$C$4:$C$505,0)),"")</f>
        <v/>
      </c>
      <c r="J353" s="7" t="str">
        <f t="array" ref="J353">IFERROR(INDEX(Base_Estudiantes!$H$4:$H$505,MATCH(D353,Base_Estudiantes!$C$4:$C$505,0)),"")</f>
        <v/>
      </c>
      <c r="K353" s="5"/>
      <c r="L353" s="5"/>
      <c r="M353" s="5"/>
      <c r="N353" s="5"/>
      <c r="O353" s="5"/>
      <c r="P353" s="5"/>
      <c r="Q353" s="5"/>
      <c r="R353" s="20"/>
      <c r="S353" s="5"/>
      <c r="T353" s="5"/>
    </row>
    <row r="354" spans="1:20" ht="15.75" customHeight="1">
      <c r="A354" s="19" t="str">
        <f t="shared" si="0"/>
        <v/>
      </c>
      <c r="B354" s="6"/>
      <c r="C354" s="20"/>
      <c r="D354" s="5"/>
      <c r="E354" s="7" t="str">
        <f t="array" ref="E354">IFERROR(INDEX(Base_Estudiantes!$A$4:$A$505,MATCH(D354,Base_Estudiantes!$C$4:$C$505,0)),"")</f>
        <v/>
      </c>
      <c r="F354" s="7" t="str">
        <f t="array" ref="F354">IFERROR(INDEX(Base_Estudiantes!$B$4:$B$505,MATCH(D354,Base_Estudiantes!$C$4:$C$505,0)),"")</f>
        <v/>
      </c>
      <c r="G354" s="7" t="str">
        <f t="array" ref="G354">IFERROR(INDEX(Base_Estudiantes!$D$4:$D$505,MATCH(D354,Base_Estudiantes!$C$4:$C$505,0)),"")</f>
        <v/>
      </c>
      <c r="H354" s="7" t="str">
        <f t="array" ref="H354">IFERROR(INDEX(Base_Estudiantes!$F$4:$F$505,MATCH(D354,Base_Estudiantes!$C$4:$C$505,0)),"")</f>
        <v/>
      </c>
      <c r="I354" s="7" t="str">
        <f t="array" ref="I354">IFERROR(INDEX(Base_Estudiantes!$G$4:$G$505,MATCH(D354,Base_Estudiantes!$C$4:$C$505,0)),"")</f>
        <v/>
      </c>
      <c r="J354" s="7" t="str">
        <f t="array" ref="J354">IFERROR(INDEX(Base_Estudiantes!$H$4:$H$505,MATCH(D354,Base_Estudiantes!$C$4:$C$505,0)),"")</f>
        <v/>
      </c>
      <c r="K354" s="5"/>
      <c r="L354" s="5"/>
      <c r="M354" s="5"/>
      <c r="N354" s="5"/>
      <c r="O354" s="5"/>
      <c r="P354" s="5"/>
      <c r="Q354" s="5"/>
      <c r="R354" s="20"/>
      <c r="S354" s="5"/>
      <c r="T354" s="5"/>
    </row>
    <row r="355" spans="1:20" ht="15.75" customHeight="1">
      <c r="A355" s="19" t="str">
        <f t="shared" si="0"/>
        <v/>
      </c>
      <c r="B355" s="6"/>
      <c r="C355" s="20"/>
      <c r="D355" s="5"/>
      <c r="E355" s="7" t="str">
        <f t="array" ref="E355">IFERROR(INDEX(Base_Estudiantes!$A$4:$A$505,MATCH(D355,Base_Estudiantes!$C$4:$C$505,0)),"")</f>
        <v/>
      </c>
      <c r="F355" s="7" t="str">
        <f t="array" ref="F355">IFERROR(INDEX(Base_Estudiantes!$B$4:$B$505,MATCH(D355,Base_Estudiantes!$C$4:$C$505,0)),"")</f>
        <v/>
      </c>
      <c r="G355" s="7" t="str">
        <f t="array" ref="G355">IFERROR(INDEX(Base_Estudiantes!$D$4:$D$505,MATCH(D355,Base_Estudiantes!$C$4:$C$505,0)),"")</f>
        <v/>
      </c>
      <c r="H355" s="7" t="str">
        <f t="array" ref="H355">IFERROR(INDEX(Base_Estudiantes!$F$4:$F$505,MATCH(D355,Base_Estudiantes!$C$4:$C$505,0)),"")</f>
        <v/>
      </c>
      <c r="I355" s="7" t="str">
        <f t="array" ref="I355">IFERROR(INDEX(Base_Estudiantes!$G$4:$G$505,MATCH(D355,Base_Estudiantes!$C$4:$C$505,0)),"")</f>
        <v/>
      </c>
      <c r="J355" s="7" t="str">
        <f t="array" ref="J355">IFERROR(INDEX(Base_Estudiantes!$H$4:$H$505,MATCH(D355,Base_Estudiantes!$C$4:$C$505,0)),"")</f>
        <v/>
      </c>
      <c r="K355" s="5"/>
      <c r="L355" s="5"/>
      <c r="M355" s="5"/>
      <c r="N355" s="5"/>
      <c r="O355" s="5"/>
      <c r="P355" s="5"/>
      <c r="Q355" s="5"/>
      <c r="R355" s="20"/>
      <c r="S355" s="5"/>
      <c r="T355" s="5"/>
    </row>
    <row r="356" spans="1:20" ht="15.75" customHeight="1">
      <c r="A356" s="19" t="str">
        <f t="shared" si="0"/>
        <v/>
      </c>
      <c r="B356" s="6"/>
      <c r="C356" s="20"/>
      <c r="D356" s="5"/>
      <c r="E356" s="7" t="str">
        <f t="array" ref="E356">IFERROR(INDEX(Base_Estudiantes!$A$4:$A$505,MATCH(D356,Base_Estudiantes!$C$4:$C$505,0)),"")</f>
        <v/>
      </c>
      <c r="F356" s="7" t="str">
        <f t="array" ref="F356">IFERROR(INDEX(Base_Estudiantes!$B$4:$B$505,MATCH(D356,Base_Estudiantes!$C$4:$C$505,0)),"")</f>
        <v/>
      </c>
      <c r="G356" s="7" t="str">
        <f t="array" ref="G356">IFERROR(INDEX(Base_Estudiantes!$D$4:$D$505,MATCH(D356,Base_Estudiantes!$C$4:$C$505,0)),"")</f>
        <v/>
      </c>
      <c r="H356" s="7" t="str">
        <f t="array" ref="H356">IFERROR(INDEX(Base_Estudiantes!$F$4:$F$505,MATCH(D356,Base_Estudiantes!$C$4:$C$505,0)),"")</f>
        <v/>
      </c>
      <c r="I356" s="7" t="str">
        <f t="array" ref="I356">IFERROR(INDEX(Base_Estudiantes!$G$4:$G$505,MATCH(D356,Base_Estudiantes!$C$4:$C$505,0)),"")</f>
        <v/>
      </c>
      <c r="J356" s="7" t="str">
        <f t="array" ref="J356">IFERROR(INDEX(Base_Estudiantes!$H$4:$H$505,MATCH(D356,Base_Estudiantes!$C$4:$C$505,0)),"")</f>
        <v/>
      </c>
      <c r="K356" s="5"/>
      <c r="L356" s="5"/>
      <c r="M356" s="5"/>
      <c r="N356" s="5"/>
      <c r="O356" s="5"/>
      <c r="P356" s="5"/>
      <c r="Q356" s="5"/>
      <c r="R356" s="20"/>
      <c r="S356" s="5"/>
      <c r="T356" s="5"/>
    </row>
    <row r="357" spans="1:20" ht="15.75" customHeight="1">
      <c r="A357" s="19" t="str">
        <f t="shared" si="0"/>
        <v/>
      </c>
      <c r="B357" s="6"/>
      <c r="C357" s="20"/>
      <c r="D357" s="5"/>
      <c r="E357" s="7" t="str">
        <f t="array" ref="E357">IFERROR(INDEX(Base_Estudiantes!$A$4:$A$505,MATCH(D357,Base_Estudiantes!$C$4:$C$505,0)),"")</f>
        <v/>
      </c>
      <c r="F357" s="7" t="str">
        <f t="array" ref="F357">IFERROR(INDEX(Base_Estudiantes!$B$4:$B$505,MATCH(D357,Base_Estudiantes!$C$4:$C$505,0)),"")</f>
        <v/>
      </c>
      <c r="G357" s="7" t="str">
        <f t="array" ref="G357">IFERROR(INDEX(Base_Estudiantes!$D$4:$D$505,MATCH(D357,Base_Estudiantes!$C$4:$C$505,0)),"")</f>
        <v/>
      </c>
      <c r="H357" s="7" t="str">
        <f t="array" ref="H357">IFERROR(INDEX(Base_Estudiantes!$F$4:$F$505,MATCH(D357,Base_Estudiantes!$C$4:$C$505,0)),"")</f>
        <v/>
      </c>
      <c r="I357" s="7" t="str">
        <f t="array" ref="I357">IFERROR(INDEX(Base_Estudiantes!$G$4:$G$505,MATCH(D357,Base_Estudiantes!$C$4:$C$505,0)),"")</f>
        <v/>
      </c>
      <c r="J357" s="7" t="str">
        <f t="array" ref="J357">IFERROR(INDEX(Base_Estudiantes!$H$4:$H$505,MATCH(D357,Base_Estudiantes!$C$4:$C$505,0)),"")</f>
        <v/>
      </c>
      <c r="K357" s="5"/>
      <c r="L357" s="5"/>
      <c r="M357" s="5"/>
      <c r="N357" s="5"/>
      <c r="O357" s="5"/>
      <c r="P357" s="5"/>
      <c r="Q357" s="5"/>
      <c r="R357" s="20"/>
      <c r="S357" s="5"/>
      <c r="T357" s="5"/>
    </row>
    <row r="358" spans="1:20" ht="15.75" customHeight="1">
      <c r="A358" s="19" t="str">
        <f t="shared" si="0"/>
        <v/>
      </c>
      <c r="B358" s="6"/>
      <c r="C358" s="20"/>
      <c r="D358" s="5"/>
      <c r="E358" s="7" t="str">
        <f t="array" ref="E358">IFERROR(INDEX(Base_Estudiantes!$A$4:$A$505,MATCH(D358,Base_Estudiantes!$C$4:$C$505,0)),"")</f>
        <v/>
      </c>
      <c r="F358" s="7" t="str">
        <f t="array" ref="F358">IFERROR(INDEX(Base_Estudiantes!$B$4:$B$505,MATCH(D358,Base_Estudiantes!$C$4:$C$505,0)),"")</f>
        <v/>
      </c>
      <c r="G358" s="7" t="str">
        <f t="array" ref="G358">IFERROR(INDEX(Base_Estudiantes!$D$4:$D$505,MATCH(D358,Base_Estudiantes!$C$4:$C$505,0)),"")</f>
        <v/>
      </c>
      <c r="H358" s="7" t="str">
        <f t="array" ref="H358">IFERROR(INDEX(Base_Estudiantes!$F$4:$F$505,MATCH(D358,Base_Estudiantes!$C$4:$C$505,0)),"")</f>
        <v/>
      </c>
      <c r="I358" s="7" t="str">
        <f t="array" ref="I358">IFERROR(INDEX(Base_Estudiantes!$G$4:$G$505,MATCH(D358,Base_Estudiantes!$C$4:$C$505,0)),"")</f>
        <v/>
      </c>
      <c r="J358" s="7" t="str">
        <f t="array" ref="J358">IFERROR(INDEX(Base_Estudiantes!$H$4:$H$505,MATCH(D358,Base_Estudiantes!$C$4:$C$505,0)),"")</f>
        <v/>
      </c>
      <c r="K358" s="5"/>
      <c r="L358" s="5"/>
      <c r="M358" s="5"/>
      <c r="N358" s="5"/>
      <c r="O358" s="5"/>
      <c r="P358" s="5"/>
      <c r="Q358" s="5"/>
      <c r="R358" s="20"/>
      <c r="S358" s="5"/>
      <c r="T358" s="5"/>
    </row>
    <row r="359" spans="1:20" ht="15.75" customHeight="1">
      <c r="A359" s="19" t="str">
        <f t="shared" si="0"/>
        <v/>
      </c>
      <c r="B359" s="6"/>
      <c r="C359" s="20"/>
      <c r="D359" s="5"/>
      <c r="E359" s="7" t="str">
        <f t="array" ref="E359">IFERROR(INDEX(Base_Estudiantes!$A$4:$A$505,MATCH(D359,Base_Estudiantes!$C$4:$C$505,0)),"")</f>
        <v/>
      </c>
      <c r="F359" s="7" t="str">
        <f t="array" ref="F359">IFERROR(INDEX(Base_Estudiantes!$B$4:$B$505,MATCH(D359,Base_Estudiantes!$C$4:$C$505,0)),"")</f>
        <v/>
      </c>
      <c r="G359" s="7" t="str">
        <f t="array" ref="G359">IFERROR(INDEX(Base_Estudiantes!$D$4:$D$505,MATCH(D359,Base_Estudiantes!$C$4:$C$505,0)),"")</f>
        <v/>
      </c>
      <c r="H359" s="7" t="str">
        <f t="array" ref="H359">IFERROR(INDEX(Base_Estudiantes!$F$4:$F$505,MATCH(D359,Base_Estudiantes!$C$4:$C$505,0)),"")</f>
        <v/>
      </c>
      <c r="I359" s="7" t="str">
        <f t="array" ref="I359">IFERROR(INDEX(Base_Estudiantes!$G$4:$G$505,MATCH(D359,Base_Estudiantes!$C$4:$C$505,0)),"")</f>
        <v/>
      </c>
      <c r="J359" s="7" t="str">
        <f t="array" ref="J359">IFERROR(INDEX(Base_Estudiantes!$H$4:$H$505,MATCH(D359,Base_Estudiantes!$C$4:$C$505,0)),"")</f>
        <v/>
      </c>
      <c r="K359" s="5"/>
      <c r="L359" s="5"/>
      <c r="M359" s="5"/>
      <c r="N359" s="5"/>
      <c r="O359" s="5"/>
      <c r="P359" s="5"/>
      <c r="Q359" s="5"/>
      <c r="R359" s="20"/>
      <c r="S359" s="5"/>
      <c r="T359" s="5"/>
    </row>
    <row r="360" spans="1:20" ht="15.75" customHeight="1">
      <c r="A360" s="19" t="str">
        <f t="shared" si="0"/>
        <v/>
      </c>
      <c r="B360" s="6"/>
      <c r="C360" s="20"/>
      <c r="D360" s="5"/>
      <c r="E360" s="7" t="str">
        <f t="array" ref="E360">IFERROR(INDEX(Base_Estudiantes!$A$4:$A$505,MATCH(D360,Base_Estudiantes!$C$4:$C$505,0)),"")</f>
        <v/>
      </c>
      <c r="F360" s="7" t="str">
        <f t="array" ref="F360">IFERROR(INDEX(Base_Estudiantes!$B$4:$B$505,MATCH(D360,Base_Estudiantes!$C$4:$C$505,0)),"")</f>
        <v/>
      </c>
      <c r="G360" s="7" t="str">
        <f t="array" ref="G360">IFERROR(INDEX(Base_Estudiantes!$D$4:$D$505,MATCH(D360,Base_Estudiantes!$C$4:$C$505,0)),"")</f>
        <v/>
      </c>
      <c r="H360" s="7" t="str">
        <f t="array" ref="H360">IFERROR(INDEX(Base_Estudiantes!$F$4:$F$505,MATCH(D360,Base_Estudiantes!$C$4:$C$505,0)),"")</f>
        <v/>
      </c>
      <c r="I360" s="7" t="str">
        <f t="array" ref="I360">IFERROR(INDEX(Base_Estudiantes!$G$4:$G$505,MATCH(D360,Base_Estudiantes!$C$4:$C$505,0)),"")</f>
        <v/>
      </c>
      <c r="J360" s="7" t="str">
        <f t="array" ref="J360">IFERROR(INDEX(Base_Estudiantes!$H$4:$H$505,MATCH(D360,Base_Estudiantes!$C$4:$C$505,0)),"")</f>
        <v/>
      </c>
      <c r="K360" s="5"/>
      <c r="L360" s="5"/>
      <c r="M360" s="5"/>
      <c r="N360" s="5"/>
      <c r="O360" s="5"/>
      <c r="P360" s="5"/>
      <c r="Q360" s="5"/>
      <c r="R360" s="20"/>
      <c r="S360" s="5"/>
      <c r="T360" s="5"/>
    </row>
    <row r="361" spans="1:20" ht="15.75" customHeight="1">
      <c r="A361" s="19" t="str">
        <f t="shared" si="0"/>
        <v/>
      </c>
      <c r="B361" s="6"/>
      <c r="C361" s="20"/>
      <c r="D361" s="5"/>
      <c r="E361" s="7" t="str">
        <f t="array" ref="E361">IFERROR(INDEX(Base_Estudiantes!$A$4:$A$505,MATCH(D361,Base_Estudiantes!$C$4:$C$505,0)),"")</f>
        <v/>
      </c>
      <c r="F361" s="7" t="str">
        <f t="array" ref="F361">IFERROR(INDEX(Base_Estudiantes!$B$4:$B$505,MATCH(D361,Base_Estudiantes!$C$4:$C$505,0)),"")</f>
        <v/>
      </c>
      <c r="G361" s="7" t="str">
        <f t="array" ref="G361">IFERROR(INDEX(Base_Estudiantes!$D$4:$D$505,MATCH(D361,Base_Estudiantes!$C$4:$C$505,0)),"")</f>
        <v/>
      </c>
      <c r="H361" s="7" t="str">
        <f t="array" ref="H361">IFERROR(INDEX(Base_Estudiantes!$F$4:$F$505,MATCH(D361,Base_Estudiantes!$C$4:$C$505,0)),"")</f>
        <v/>
      </c>
      <c r="I361" s="7" t="str">
        <f t="array" ref="I361">IFERROR(INDEX(Base_Estudiantes!$G$4:$G$505,MATCH(D361,Base_Estudiantes!$C$4:$C$505,0)),"")</f>
        <v/>
      </c>
      <c r="J361" s="7" t="str">
        <f t="array" ref="J361">IFERROR(INDEX(Base_Estudiantes!$H$4:$H$505,MATCH(D361,Base_Estudiantes!$C$4:$C$505,0)),"")</f>
        <v/>
      </c>
      <c r="K361" s="5"/>
      <c r="L361" s="5"/>
      <c r="M361" s="5"/>
      <c r="N361" s="5"/>
      <c r="O361" s="5"/>
      <c r="P361" s="5"/>
      <c r="Q361" s="5"/>
      <c r="R361" s="20"/>
      <c r="S361" s="5"/>
      <c r="T361" s="5"/>
    </row>
    <row r="362" spans="1:20" ht="15.75" customHeight="1">
      <c r="A362" s="19" t="str">
        <f t="shared" si="0"/>
        <v/>
      </c>
      <c r="B362" s="6"/>
      <c r="C362" s="20"/>
      <c r="D362" s="5"/>
      <c r="E362" s="7" t="str">
        <f t="array" ref="E362">IFERROR(INDEX(Base_Estudiantes!$A$4:$A$505,MATCH(D362,Base_Estudiantes!$C$4:$C$505,0)),"")</f>
        <v/>
      </c>
      <c r="F362" s="7" t="str">
        <f t="array" ref="F362">IFERROR(INDEX(Base_Estudiantes!$B$4:$B$505,MATCH(D362,Base_Estudiantes!$C$4:$C$505,0)),"")</f>
        <v/>
      </c>
      <c r="G362" s="7" t="str">
        <f t="array" ref="G362">IFERROR(INDEX(Base_Estudiantes!$D$4:$D$505,MATCH(D362,Base_Estudiantes!$C$4:$C$505,0)),"")</f>
        <v/>
      </c>
      <c r="H362" s="7" t="str">
        <f t="array" ref="H362">IFERROR(INDEX(Base_Estudiantes!$F$4:$F$505,MATCH(D362,Base_Estudiantes!$C$4:$C$505,0)),"")</f>
        <v/>
      </c>
      <c r="I362" s="7" t="str">
        <f t="array" ref="I362">IFERROR(INDEX(Base_Estudiantes!$G$4:$G$505,MATCH(D362,Base_Estudiantes!$C$4:$C$505,0)),"")</f>
        <v/>
      </c>
      <c r="J362" s="7" t="str">
        <f t="array" ref="J362">IFERROR(INDEX(Base_Estudiantes!$H$4:$H$505,MATCH(D362,Base_Estudiantes!$C$4:$C$505,0)),"")</f>
        <v/>
      </c>
      <c r="K362" s="5"/>
      <c r="L362" s="5"/>
      <c r="M362" s="5"/>
      <c r="N362" s="5"/>
      <c r="O362" s="5"/>
      <c r="P362" s="5"/>
      <c r="Q362" s="5"/>
      <c r="R362" s="20"/>
      <c r="S362" s="5"/>
      <c r="T362" s="5"/>
    </row>
    <row r="363" spans="1:20" ht="15.75" customHeight="1">
      <c r="A363" s="19" t="str">
        <f t="shared" si="0"/>
        <v/>
      </c>
      <c r="B363" s="6"/>
      <c r="C363" s="20"/>
      <c r="D363" s="5"/>
      <c r="E363" s="7" t="str">
        <f t="array" ref="E363">IFERROR(INDEX(Base_Estudiantes!$A$4:$A$505,MATCH(D363,Base_Estudiantes!$C$4:$C$505,0)),"")</f>
        <v/>
      </c>
      <c r="F363" s="7" t="str">
        <f t="array" ref="F363">IFERROR(INDEX(Base_Estudiantes!$B$4:$B$505,MATCH(D363,Base_Estudiantes!$C$4:$C$505,0)),"")</f>
        <v/>
      </c>
      <c r="G363" s="7" t="str">
        <f t="array" ref="G363">IFERROR(INDEX(Base_Estudiantes!$D$4:$D$505,MATCH(D363,Base_Estudiantes!$C$4:$C$505,0)),"")</f>
        <v/>
      </c>
      <c r="H363" s="7" t="str">
        <f t="array" ref="H363">IFERROR(INDEX(Base_Estudiantes!$F$4:$F$505,MATCH(D363,Base_Estudiantes!$C$4:$C$505,0)),"")</f>
        <v/>
      </c>
      <c r="I363" s="7" t="str">
        <f t="array" ref="I363">IFERROR(INDEX(Base_Estudiantes!$G$4:$G$505,MATCH(D363,Base_Estudiantes!$C$4:$C$505,0)),"")</f>
        <v/>
      </c>
      <c r="J363" s="7" t="str">
        <f t="array" ref="J363">IFERROR(INDEX(Base_Estudiantes!$H$4:$H$505,MATCH(D363,Base_Estudiantes!$C$4:$C$505,0)),"")</f>
        <v/>
      </c>
      <c r="K363" s="5"/>
      <c r="L363" s="5"/>
      <c r="M363" s="5"/>
      <c r="N363" s="5"/>
      <c r="O363" s="5"/>
      <c r="P363" s="5"/>
      <c r="Q363" s="5"/>
      <c r="R363" s="20"/>
      <c r="S363" s="5"/>
      <c r="T363" s="5"/>
    </row>
    <row r="364" spans="1:20" ht="15.75" customHeight="1">
      <c r="A364" s="19" t="str">
        <f t="shared" si="0"/>
        <v/>
      </c>
      <c r="B364" s="6"/>
      <c r="C364" s="20"/>
      <c r="D364" s="5"/>
      <c r="E364" s="7" t="str">
        <f t="array" ref="E364">IFERROR(INDEX(Base_Estudiantes!$A$4:$A$505,MATCH(D364,Base_Estudiantes!$C$4:$C$505,0)),"")</f>
        <v/>
      </c>
      <c r="F364" s="7" t="str">
        <f t="array" ref="F364">IFERROR(INDEX(Base_Estudiantes!$B$4:$B$505,MATCH(D364,Base_Estudiantes!$C$4:$C$505,0)),"")</f>
        <v/>
      </c>
      <c r="G364" s="7" t="str">
        <f t="array" ref="G364">IFERROR(INDEX(Base_Estudiantes!$D$4:$D$505,MATCH(D364,Base_Estudiantes!$C$4:$C$505,0)),"")</f>
        <v/>
      </c>
      <c r="H364" s="7" t="str">
        <f t="array" ref="H364">IFERROR(INDEX(Base_Estudiantes!$F$4:$F$505,MATCH(D364,Base_Estudiantes!$C$4:$C$505,0)),"")</f>
        <v/>
      </c>
      <c r="I364" s="7" t="str">
        <f t="array" ref="I364">IFERROR(INDEX(Base_Estudiantes!$G$4:$G$505,MATCH(D364,Base_Estudiantes!$C$4:$C$505,0)),"")</f>
        <v/>
      </c>
      <c r="J364" s="7" t="str">
        <f t="array" ref="J364">IFERROR(INDEX(Base_Estudiantes!$H$4:$H$505,MATCH(D364,Base_Estudiantes!$C$4:$C$505,0)),"")</f>
        <v/>
      </c>
      <c r="K364" s="5"/>
      <c r="L364" s="5"/>
      <c r="M364" s="5"/>
      <c r="N364" s="5"/>
      <c r="O364" s="5"/>
      <c r="P364" s="5"/>
      <c r="Q364" s="5"/>
      <c r="R364" s="20"/>
      <c r="S364" s="5"/>
      <c r="T364" s="5"/>
    </row>
    <row r="365" spans="1:20" ht="15.75" customHeight="1">
      <c r="A365" s="19" t="str">
        <f t="shared" si="0"/>
        <v/>
      </c>
      <c r="B365" s="6"/>
      <c r="C365" s="20"/>
      <c r="D365" s="5"/>
      <c r="E365" s="7" t="str">
        <f t="array" ref="E365">IFERROR(INDEX(Base_Estudiantes!$A$4:$A$505,MATCH(D365,Base_Estudiantes!$C$4:$C$505,0)),"")</f>
        <v/>
      </c>
      <c r="F365" s="7" t="str">
        <f t="array" ref="F365">IFERROR(INDEX(Base_Estudiantes!$B$4:$B$505,MATCH(D365,Base_Estudiantes!$C$4:$C$505,0)),"")</f>
        <v/>
      </c>
      <c r="G365" s="7" t="str">
        <f t="array" ref="G365">IFERROR(INDEX(Base_Estudiantes!$D$4:$D$505,MATCH(D365,Base_Estudiantes!$C$4:$C$505,0)),"")</f>
        <v/>
      </c>
      <c r="H365" s="7" t="str">
        <f t="array" ref="H365">IFERROR(INDEX(Base_Estudiantes!$F$4:$F$505,MATCH(D365,Base_Estudiantes!$C$4:$C$505,0)),"")</f>
        <v/>
      </c>
      <c r="I365" s="7" t="str">
        <f t="array" ref="I365">IFERROR(INDEX(Base_Estudiantes!$G$4:$G$505,MATCH(D365,Base_Estudiantes!$C$4:$C$505,0)),"")</f>
        <v/>
      </c>
      <c r="J365" s="7" t="str">
        <f t="array" ref="J365">IFERROR(INDEX(Base_Estudiantes!$H$4:$H$505,MATCH(D365,Base_Estudiantes!$C$4:$C$505,0)),"")</f>
        <v/>
      </c>
      <c r="K365" s="5"/>
      <c r="L365" s="5"/>
      <c r="M365" s="5"/>
      <c r="N365" s="5"/>
      <c r="O365" s="5"/>
      <c r="P365" s="5"/>
      <c r="Q365" s="5"/>
      <c r="R365" s="20"/>
      <c r="S365" s="5"/>
      <c r="T365" s="5"/>
    </row>
    <row r="366" spans="1:20" ht="15.75" customHeight="1">
      <c r="A366" s="19" t="str">
        <f t="shared" si="0"/>
        <v/>
      </c>
      <c r="B366" s="6"/>
      <c r="C366" s="20"/>
      <c r="D366" s="5"/>
      <c r="E366" s="7" t="str">
        <f t="array" ref="E366">IFERROR(INDEX(Base_Estudiantes!$A$4:$A$505,MATCH(D366,Base_Estudiantes!$C$4:$C$505,0)),"")</f>
        <v/>
      </c>
      <c r="F366" s="7" t="str">
        <f t="array" ref="F366">IFERROR(INDEX(Base_Estudiantes!$B$4:$B$505,MATCH(D366,Base_Estudiantes!$C$4:$C$505,0)),"")</f>
        <v/>
      </c>
      <c r="G366" s="7" t="str">
        <f t="array" ref="G366">IFERROR(INDEX(Base_Estudiantes!$D$4:$D$505,MATCH(D366,Base_Estudiantes!$C$4:$C$505,0)),"")</f>
        <v/>
      </c>
      <c r="H366" s="7" t="str">
        <f t="array" ref="H366">IFERROR(INDEX(Base_Estudiantes!$F$4:$F$505,MATCH(D366,Base_Estudiantes!$C$4:$C$505,0)),"")</f>
        <v/>
      </c>
      <c r="I366" s="7" t="str">
        <f t="array" ref="I366">IFERROR(INDEX(Base_Estudiantes!$G$4:$G$505,MATCH(D366,Base_Estudiantes!$C$4:$C$505,0)),"")</f>
        <v/>
      </c>
      <c r="J366" s="7" t="str">
        <f t="array" ref="J366">IFERROR(INDEX(Base_Estudiantes!$H$4:$H$505,MATCH(D366,Base_Estudiantes!$C$4:$C$505,0)),"")</f>
        <v/>
      </c>
      <c r="K366" s="5"/>
      <c r="L366" s="5"/>
      <c r="M366" s="5"/>
      <c r="N366" s="5"/>
      <c r="O366" s="5"/>
      <c r="P366" s="5"/>
      <c r="Q366" s="5"/>
      <c r="R366" s="20"/>
      <c r="S366" s="5"/>
      <c r="T366" s="5"/>
    </row>
    <row r="367" spans="1:20" ht="15.75" customHeight="1">
      <c r="A367" s="19" t="str">
        <f t="shared" si="0"/>
        <v/>
      </c>
      <c r="B367" s="6"/>
      <c r="C367" s="20"/>
      <c r="D367" s="5"/>
      <c r="E367" s="7" t="str">
        <f t="array" ref="E367">IFERROR(INDEX(Base_Estudiantes!$A$4:$A$505,MATCH(D367,Base_Estudiantes!$C$4:$C$505,0)),"")</f>
        <v/>
      </c>
      <c r="F367" s="7" t="str">
        <f t="array" ref="F367">IFERROR(INDEX(Base_Estudiantes!$B$4:$B$505,MATCH(D367,Base_Estudiantes!$C$4:$C$505,0)),"")</f>
        <v/>
      </c>
      <c r="G367" s="7" t="str">
        <f t="array" ref="G367">IFERROR(INDEX(Base_Estudiantes!$D$4:$D$505,MATCH(D367,Base_Estudiantes!$C$4:$C$505,0)),"")</f>
        <v/>
      </c>
      <c r="H367" s="7" t="str">
        <f t="array" ref="H367">IFERROR(INDEX(Base_Estudiantes!$F$4:$F$505,MATCH(D367,Base_Estudiantes!$C$4:$C$505,0)),"")</f>
        <v/>
      </c>
      <c r="I367" s="7" t="str">
        <f t="array" ref="I367">IFERROR(INDEX(Base_Estudiantes!$G$4:$G$505,MATCH(D367,Base_Estudiantes!$C$4:$C$505,0)),"")</f>
        <v/>
      </c>
      <c r="J367" s="7" t="str">
        <f t="array" ref="J367">IFERROR(INDEX(Base_Estudiantes!$H$4:$H$505,MATCH(D367,Base_Estudiantes!$C$4:$C$505,0)),"")</f>
        <v/>
      </c>
      <c r="K367" s="5"/>
      <c r="L367" s="5"/>
      <c r="M367" s="5"/>
      <c r="N367" s="5"/>
      <c r="O367" s="5"/>
      <c r="P367" s="5"/>
      <c r="Q367" s="5"/>
      <c r="R367" s="20"/>
      <c r="S367" s="5"/>
      <c r="T367" s="5"/>
    </row>
    <row r="368" spans="1:20" ht="15.75" customHeight="1">
      <c r="A368" s="19" t="str">
        <f t="shared" si="0"/>
        <v/>
      </c>
      <c r="B368" s="6"/>
      <c r="C368" s="20"/>
      <c r="D368" s="5"/>
      <c r="E368" s="7" t="str">
        <f t="array" ref="E368">IFERROR(INDEX(Base_Estudiantes!$A$4:$A$505,MATCH(D368,Base_Estudiantes!$C$4:$C$505,0)),"")</f>
        <v/>
      </c>
      <c r="F368" s="7" t="str">
        <f t="array" ref="F368">IFERROR(INDEX(Base_Estudiantes!$B$4:$B$505,MATCH(D368,Base_Estudiantes!$C$4:$C$505,0)),"")</f>
        <v/>
      </c>
      <c r="G368" s="7" t="str">
        <f t="array" ref="G368">IFERROR(INDEX(Base_Estudiantes!$D$4:$D$505,MATCH(D368,Base_Estudiantes!$C$4:$C$505,0)),"")</f>
        <v/>
      </c>
      <c r="H368" s="7" t="str">
        <f t="array" ref="H368">IFERROR(INDEX(Base_Estudiantes!$F$4:$F$505,MATCH(D368,Base_Estudiantes!$C$4:$C$505,0)),"")</f>
        <v/>
      </c>
      <c r="I368" s="7" t="str">
        <f t="array" ref="I368">IFERROR(INDEX(Base_Estudiantes!$G$4:$G$505,MATCH(D368,Base_Estudiantes!$C$4:$C$505,0)),"")</f>
        <v/>
      </c>
      <c r="J368" s="7" t="str">
        <f t="array" ref="J368">IFERROR(INDEX(Base_Estudiantes!$H$4:$H$505,MATCH(D368,Base_Estudiantes!$C$4:$C$505,0)),"")</f>
        <v/>
      </c>
      <c r="K368" s="5"/>
      <c r="L368" s="5"/>
      <c r="M368" s="5"/>
      <c r="N368" s="5"/>
      <c r="O368" s="5"/>
      <c r="P368" s="5"/>
      <c r="Q368" s="5"/>
      <c r="R368" s="20"/>
      <c r="S368" s="5"/>
      <c r="T368" s="5"/>
    </row>
    <row r="369" spans="1:20" ht="15.75" customHeight="1">
      <c r="A369" s="19" t="str">
        <f t="shared" si="0"/>
        <v/>
      </c>
      <c r="B369" s="6"/>
      <c r="C369" s="20"/>
      <c r="D369" s="5"/>
      <c r="E369" s="7" t="str">
        <f t="array" ref="E369">IFERROR(INDEX(Base_Estudiantes!$A$4:$A$505,MATCH(D369,Base_Estudiantes!$C$4:$C$505,0)),"")</f>
        <v/>
      </c>
      <c r="F369" s="7" t="str">
        <f t="array" ref="F369">IFERROR(INDEX(Base_Estudiantes!$B$4:$B$505,MATCH(D369,Base_Estudiantes!$C$4:$C$505,0)),"")</f>
        <v/>
      </c>
      <c r="G369" s="7" t="str">
        <f t="array" ref="G369">IFERROR(INDEX(Base_Estudiantes!$D$4:$D$505,MATCH(D369,Base_Estudiantes!$C$4:$C$505,0)),"")</f>
        <v/>
      </c>
      <c r="H369" s="7" t="str">
        <f t="array" ref="H369">IFERROR(INDEX(Base_Estudiantes!$F$4:$F$505,MATCH(D369,Base_Estudiantes!$C$4:$C$505,0)),"")</f>
        <v/>
      </c>
      <c r="I369" s="7" t="str">
        <f t="array" ref="I369">IFERROR(INDEX(Base_Estudiantes!$G$4:$G$505,MATCH(D369,Base_Estudiantes!$C$4:$C$505,0)),"")</f>
        <v/>
      </c>
      <c r="J369" s="7" t="str">
        <f t="array" ref="J369">IFERROR(INDEX(Base_Estudiantes!$H$4:$H$505,MATCH(D369,Base_Estudiantes!$C$4:$C$505,0)),"")</f>
        <v/>
      </c>
      <c r="K369" s="5"/>
      <c r="L369" s="5"/>
      <c r="M369" s="5"/>
      <c r="N369" s="5"/>
      <c r="O369" s="5"/>
      <c r="P369" s="5"/>
      <c r="Q369" s="5"/>
      <c r="R369" s="20"/>
      <c r="S369" s="5"/>
      <c r="T369" s="5"/>
    </row>
    <row r="370" spans="1:20" ht="15.75" customHeight="1">
      <c r="A370" s="19" t="str">
        <f t="shared" si="0"/>
        <v/>
      </c>
      <c r="B370" s="6"/>
      <c r="C370" s="20"/>
      <c r="D370" s="5"/>
      <c r="E370" s="7" t="str">
        <f t="array" ref="E370">IFERROR(INDEX(Base_Estudiantes!$A$4:$A$505,MATCH(D370,Base_Estudiantes!$C$4:$C$505,0)),"")</f>
        <v/>
      </c>
      <c r="F370" s="7" t="str">
        <f t="array" ref="F370">IFERROR(INDEX(Base_Estudiantes!$B$4:$B$505,MATCH(D370,Base_Estudiantes!$C$4:$C$505,0)),"")</f>
        <v/>
      </c>
      <c r="G370" s="7" t="str">
        <f t="array" ref="G370">IFERROR(INDEX(Base_Estudiantes!$D$4:$D$505,MATCH(D370,Base_Estudiantes!$C$4:$C$505,0)),"")</f>
        <v/>
      </c>
      <c r="H370" s="7" t="str">
        <f t="array" ref="H370">IFERROR(INDEX(Base_Estudiantes!$F$4:$F$505,MATCH(D370,Base_Estudiantes!$C$4:$C$505,0)),"")</f>
        <v/>
      </c>
      <c r="I370" s="7" t="str">
        <f t="array" ref="I370">IFERROR(INDEX(Base_Estudiantes!$G$4:$G$505,MATCH(D370,Base_Estudiantes!$C$4:$C$505,0)),"")</f>
        <v/>
      </c>
      <c r="J370" s="7" t="str">
        <f t="array" ref="J370">IFERROR(INDEX(Base_Estudiantes!$H$4:$H$505,MATCH(D370,Base_Estudiantes!$C$4:$C$505,0)),"")</f>
        <v/>
      </c>
      <c r="K370" s="5"/>
      <c r="L370" s="5"/>
      <c r="M370" s="5"/>
      <c r="N370" s="5"/>
      <c r="O370" s="5"/>
      <c r="P370" s="5"/>
      <c r="Q370" s="5"/>
      <c r="R370" s="20"/>
      <c r="S370" s="5"/>
      <c r="T370" s="5"/>
    </row>
    <row r="371" spans="1:20" ht="15.75" customHeight="1">
      <c r="A371" s="19" t="str">
        <f t="shared" si="0"/>
        <v/>
      </c>
      <c r="B371" s="6"/>
      <c r="C371" s="20"/>
      <c r="D371" s="5"/>
      <c r="E371" s="7" t="str">
        <f t="array" ref="E371">IFERROR(INDEX(Base_Estudiantes!$A$4:$A$505,MATCH(D371,Base_Estudiantes!$C$4:$C$505,0)),"")</f>
        <v/>
      </c>
      <c r="F371" s="7" t="str">
        <f t="array" ref="F371">IFERROR(INDEX(Base_Estudiantes!$B$4:$B$505,MATCH(D371,Base_Estudiantes!$C$4:$C$505,0)),"")</f>
        <v/>
      </c>
      <c r="G371" s="7" t="str">
        <f t="array" ref="G371">IFERROR(INDEX(Base_Estudiantes!$D$4:$D$505,MATCH(D371,Base_Estudiantes!$C$4:$C$505,0)),"")</f>
        <v/>
      </c>
      <c r="H371" s="7" t="str">
        <f t="array" ref="H371">IFERROR(INDEX(Base_Estudiantes!$F$4:$F$505,MATCH(D371,Base_Estudiantes!$C$4:$C$505,0)),"")</f>
        <v/>
      </c>
      <c r="I371" s="7" t="str">
        <f t="array" ref="I371">IFERROR(INDEX(Base_Estudiantes!$G$4:$G$505,MATCH(D371,Base_Estudiantes!$C$4:$C$505,0)),"")</f>
        <v/>
      </c>
      <c r="J371" s="7" t="str">
        <f t="array" ref="J371">IFERROR(INDEX(Base_Estudiantes!$H$4:$H$505,MATCH(D371,Base_Estudiantes!$C$4:$C$505,0)),"")</f>
        <v/>
      </c>
      <c r="K371" s="5"/>
      <c r="L371" s="5"/>
      <c r="M371" s="5"/>
      <c r="N371" s="5"/>
      <c r="O371" s="5"/>
      <c r="P371" s="5"/>
      <c r="Q371" s="5"/>
      <c r="R371" s="20"/>
      <c r="S371" s="5"/>
      <c r="T371" s="5"/>
    </row>
    <row r="372" spans="1:20" ht="15.75" customHeight="1">
      <c r="A372" s="19" t="str">
        <f t="shared" si="0"/>
        <v/>
      </c>
      <c r="B372" s="6"/>
      <c r="C372" s="20"/>
      <c r="D372" s="5"/>
      <c r="E372" s="7" t="str">
        <f t="array" ref="E372">IFERROR(INDEX(Base_Estudiantes!$A$4:$A$505,MATCH(D372,Base_Estudiantes!$C$4:$C$505,0)),"")</f>
        <v/>
      </c>
      <c r="F372" s="7" t="str">
        <f t="array" ref="F372">IFERROR(INDEX(Base_Estudiantes!$B$4:$B$505,MATCH(D372,Base_Estudiantes!$C$4:$C$505,0)),"")</f>
        <v/>
      </c>
      <c r="G372" s="7" t="str">
        <f t="array" ref="G372">IFERROR(INDEX(Base_Estudiantes!$D$4:$D$505,MATCH(D372,Base_Estudiantes!$C$4:$C$505,0)),"")</f>
        <v/>
      </c>
      <c r="H372" s="7" t="str">
        <f t="array" ref="H372">IFERROR(INDEX(Base_Estudiantes!$F$4:$F$505,MATCH(D372,Base_Estudiantes!$C$4:$C$505,0)),"")</f>
        <v/>
      </c>
      <c r="I372" s="7" t="str">
        <f t="array" ref="I372">IFERROR(INDEX(Base_Estudiantes!$G$4:$G$505,MATCH(D372,Base_Estudiantes!$C$4:$C$505,0)),"")</f>
        <v/>
      </c>
      <c r="J372" s="7" t="str">
        <f t="array" ref="J372">IFERROR(INDEX(Base_Estudiantes!$H$4:$H$505,MATCH(D372,Base_Estudiantes!$C$4:$C$505,0)),"")</f>
        <v/>
      </c>
      <c r="K372" s="5"/>
      <c r="L372" s="5"/>
      <c r="M372" s="5"/>
      <c r="N372" s="5"/>
      <c r="O372" s="5"/>
      <c r="P372" s="5"/>
      <c r="Q372" s="5"/>
      <c r="R372" s="20"/>
      <c r="S372" s="5"/>
      <c r="T372" s="5"/>
    </row>
    <row r="373" spans="1:20" ht="15.75" customHeight="1">
      <c r="A373" s="19" t="str">
        <f t="shared" si="0"/>
        <v/>
      </c>
      <c r="B373" s="6"/>
      <c r="C373" s="20"/>
      <c r="D373" s="5"/>
      <c r="E373" s="7" t="str">
        <f t="array" ref="E373">IFERROR(INDEX(Base_Estudiantes!$A$4:$A$505,MATCH(D373,Base_Estudiantes!$C$4:$C$505,0)),"")</f>
        <v/>
      </c>
      <c r="F373" s="7" t="str">
        <f t="array" ref="F373">IFERROR(INDEX(Base_Estudiantes!$B$4:$B$505,MATCH(D373,Base_Estudiantes!$C$4:$C$505,0)),"")</f>
        <v/>
      </c>
      <c r="G373" s="7" t="str">
        <f t="array" ref="G373">IFERROR(INDEX(Base_Estudiantes!$D$4:$D$505,MATCH(D373,Base_Estudiantes!$C$4:$C$505,0)),"")</f>
        <v/>
      </c>
      <c r="H373" s="7" t="str">
        <f t="array" ref="H373">IFERROR(INDEX(Base_Estudiantes!$F$4:$F$505,MATCH(D373,Base_Estudiantes!$C$4:$C$505,0)),"")</f>
        <v/>
      </c>
      <c r="I373" s="7" t="str">
        <f t="array" ref="I373">IFERROR(INDEX(Base_Estudiantes!$G$4:$G$505,MATCH(D373,Base_Estudiantes!$C$4:$C$505,0)),"")</f>
        <v/>
      </c>
      <c r="J373" s="7" t="str">
        <f t="array" ref="J373">IFERROR(INDEX(Base_Estudiantes!$H$4:$H$505,MATCH(D373,Base_Estudiantes!$C$4:$C$505,0)),"")</f>
        <v/>
      </c>
      <c r="K373" s="5"/>
      <c r="L373" s="5"/>
      <c r="M373" s="5"/>
      <c r="N373" s="5"/>
      <c r="O373" s="5"/>
      <c r="P373" s="5"/>
      <c r="Q373" s="5"/>
      <c r="R373" s="20"/>
      <c r="S373" s="5"/>
      <c r="T373" s="5"/>
    </row>
    <row r="374" spans="1:20" ht="15.75" customHeight="1">
      <c r="A374" s="19" t="str">
        <f t="shared" si="0"/>
        <v/>
      </c>
      <c r="B374" s="6"/>
      <c r="C374" s="20"/>
      <c r="D374" s="5"/>
      <c r="E374" s="7" t="str">
        <f t="array" ref="E374">IFERROR(INDEX(Base_Estudiantes!$A$4:$A$505,MATCH(D374,Base_Estudiantes!$C$4:$C$505,0)),"")</f>
        <v/>
      </c>
      <c r="F374" s="7" t="str">
        <f t="array" ref="F374">IFERROR(INDEX(Base_Estudiantes!$B$4:$B$505,MATCH(D374,Base_Estudiantes!$C$4:$C$505,0)),"")</f>
        <v/>
      </c>
      <c r="G374" s="7" t="str">
        <f t="array" ref="G374">IFERROR(INDEX(Base_Estudiantes!$D$4:$D$505,MATCH(D374,Base_Estudiantes!$C$4:$C$505,0)),"")</f>
        <v/>
      </c>
      <c r="H374" s="7" t="str">
        <f t="array" ref="H374">IFERROR(INDEX(Base_Estudiantes!$F$4:$F$505,MATCH(D374,Base_Estudiantes!$C$4:$C$505,0)),"")</f>
        <v/>
      </c>
      <c r="I374" s="7" t="str">
        <f t="array" ref="I374">IFERROR(INDEX(Base_Estudiantes!$G$4:$G$505,MATCH(D374,Base_Estudiantes!$C$4:$C$505,0)),"")</f>
        <v/>
      </c>
      <c r="J374" s="7" t="str">
        <f t="array" ref="J374">IFERROR(INDEX(Base_Estudiantes!$H$4:$H$505,MATCH(D374,Base_Estudiantes!$C$4:$C$505,0)),"")</f>
        <v/>
      </c>
      <c r="K374" s="5"/>
      <c r="L374" s="5"/>
      <c r="M374" s="5"/>
      <c r="N374" s="5"/>
      <c r="O374" s="5"/>
      <c r="P374" s="5"/>
      <c r="Q374" s="5"/>
      <c r="R374" s="20"/>
      <c r="S374" s="5"/>
      <c r="T374" s="5"/>
    </row>
    <row r="375" spans="1:20" ht="15.75" customHeight="1">
      <c r="A375" s="19" t="str">
        <f t="shared" si="0"/>
        <v/>
      </c>
      <c r="B375" s="6"/>
      <c r="C375" s="20"/>
      <c r="D375" s="5"/>
      <c r="E375" s="7" t="str">
        <f t="array" ref="E375">IFERROR(INDEX(Base_Estudiantes!$A$4:$A$505,MATCH(D375,Base_Estudiantes!$C$4:$C$505,0)),"")</f>
        <v/>
      </c>
      <c r="F375" s="7" t="str">
        <f t="array" ref="F375">IFERROR(INDEX(Base_Estudiantes!$B$4:$B$505,MATCH(D375,Base_Estudiantes!$C$4:$C$505,0)),"")</f>
        <v/>
      </c>
      <c r="G375" s="7" t="str">
        <f t="array" ref="G375">IFERROR(INDEX(Base_Estudiantes!$D$4:$D$505,MATCH(D375,Base_Estudiantes!$C$4:$C$505,0)),"")</f>
        <v/>
      </c>
      <c r="H375" s="7" t="str">
        <f t="array" ref="H375">IFERROR(INDEX(Base_Estudiantes!$F$4:$F$505,MATCH(D375,Base_Estudiantes!$C$4:$C$505,0)),"")</f>
        <v/>
      </c>
      <c r="I375" s="7" t="str">
        <f t="array" ref="I375">IFERROR(INDEX(Base_Estudiantes!$G$4:$G$505,MATCH(D375,Base_Estudiantes!$C$4:$C$505,0)),"")</f>
        <v/>
      </c>
      <c r="J375" s="7" t="str">
        <f t="array" ref="J375">IFERROR(INDEX(Base_Estudiantes!$H$4:$H$505,MATCH(D375,Base_Estudiantes!$C$4:$C$505,0)),"")</f>
        <v/>
      </c>
      <c r="K375" s="5"/>
      <c r="L375" s="5"/>
      <c r="M375" s="5"/>
      <c r="N375" s="5"/>
      <c r="O375" s="5"/>
      <c r="P375" s="5"/>
      <c r="Q375" s="5"/>
      <c r="R375" s="20"/>
      <c r="S375" s="5"/>
      <c r="T375" s="5"/>
    </row>
    <row r="376" spans="1:20" ht="15.75" customHeight="1">
      <c r="A376" s="19" t="str">
        <f t="shared" si="0"/>
        <v/>
      </c>
      <c r="B376" s="6"/>
      <c r="C376" s="20"/>
      <c r="D376" s="5"/>
      <c r="E376" s="7" t="str">
        <f t="array" ref="E376">IFERROR(INDEX(Base_Estudiantes!$A$4:$A$505,MATCH(D376,Base_Estudiantes!$C$4:$C$505,0)),"")</f>
        <v/>
      </c>
      <c r="F376" s="7" t="str">
        <f t="array" ref="F376">IFERROR(INDEX(Base_Estudiantes!$B$4:$B$505,MATCH(D376,Base_Estudiantes!$C$4:$C$505,0)),"")</f>
        <v/>
      </c>
      <c r="G376" s="7" t="str">
        <f t="array" ref="G376">IFERROR(INDEX(Base_Estudiantes!$D$4:$D$505,MATCH(D376,Base_Estudiantes!$C$4:$C$505,0)),"")</f>
        <v/>
      </c>
      <c r="H376" s="7" t="str">
        <f t="array" ref="H376">IFERROR(INDEX(Base_Estudiantes!$F$4:$F$505,MATCH(D376,Base_Estudiantes!$C$4:$C$505,0)),"")</f>
        <v/>
      </c>
      <c r="I376" s="7" t="str">
        <f t="array" ref="I376">IFERROR(INDEX(Base_Estudiantes!$G$4:$G$505,MATCH(D376,Base_Estudiantes!$C$4:$C$505,0)),"")</f>
        <v/>
      </c>
      <c r="J376" s="7" t="str">
        <f t="array" ref="J376">IFERROR(INDEX(Base_Estudiantes!$H$4:$H$505,MATCH(D376,Base_Estudiantes!$C$4:$C$505,0)),"")</f>
        <v/>
      </c>
      <c r="K376" s="5"/>
      <c r="L376" s="5"/>
      <c r="M376" s="5"/>
      <c r="N376" s="5"/>
      <c r="O376" s="5"/>
      <c r="P376" s="5"/>
      <c r="Q376" s="5"/>
      <c r="R376" s="20"/>
      <c r="S376" s="5"/>
      <c r="T376" s="5"/>
    </row>
    <row r="377" spans="1:20" ht="15.75" customHeight="1">
      <c r="A377" s="19" t="str">
        <f t="shared" si="0"/>
        <v/>
      </c>
      <c r="B377" s="6"/>
      <c r="C377" s="20"/>
      <c r="D377" s="5"/>
      <c r="E377" s="7" t="str">
        <f t="array" ref="E377">IFERROR(INDEX(Base_Estudiantes!$A$4:$A$505,MATCH(D377,Base_Estudiantes!$C$4:$C$505,0)),"")</f>
        <v/>
      </c>
      <c r="F377" s="7" t="str">
        <f t="array" ref="F377">IFERROR(INDEX(Base_Estudiantes!$B$4:$B$505,MATCH(D377,Base_Estudiantes!$C$4:$C$505,0)),"")</f>
        <v/>
      </c>
      <c r="G377" s="7" t="str">
        <f t="array" ref="G377">IFERROR(INDEX(Base_Estudiantes!$D$4:$D$505,MATCH(D377,Base_Estudiantes!$C$4:$C$505,0)),"")</f>
        <v/>
      </c>
      <c r="H377" s="7" t="str">
        <f t="array" ref="H377">IFERROR(INDEX(Base_Estudiantes!$F$4:$F$505,MATCH(D377,Base_Estudiantes!$C$4:$C$505,0)),"")</f>
        <v/>
      </c>
      <c r="I377" s="7" t="str">
        <f t="array" ref="I377">IFERROR(INDEX(Base_Estudiantes!$G$4:$G$505,MATCH(D377,Base_Estudiantes!$C$4:$C$505,0)),"")</f>
        <v/>
      </c>
      <c r="J377" s="7" t="str">
        <f t="array" ref="J377">IFERROR(INDEX(Base_Estudiantes!$H$4:$H$505,MATCH(D377,Base_Estudiantes!$C$4:$C$505,0)),"")</f>
        <v/>
      </c>
      <c r="K377" s="5"/>
      <c r="L377" s="5"/>
      <c r="M377" s="5"/>
      <c r="N377" s="5"/>
      <c r="O377" s="5"/>
      <c r="P377" s="5"/>
      <c r="Q377" s="5"/>
      <c r="R377" s="20"/>
      <c r="S377" s="5"/>
      <c r="T377" s="5"/>
    </row>
    <row r="378" spans="1:20" ht="15.75" customHeight="1">
      <c r="A378" s="19" t="str">
        <f t="shared" si="0"/>
        <v/>
      </c>
      <c r="B378" s="6"/>
      <c r="C378" s="20"/>
      <c r="D378" s="5"/>
      <c r="E378" s="7" t="str">
        <f t="array" ref="E378">IFERROR(INDEX(Base_Estudiantes!$A$4:$A$505,MATCH(D378,Base_Estudiantes!$C$4:$C$505,0)),"")</f>
        <v/>
      </c>
      <c r="F378" s="7" t="str">
        <f t="array" ref="F378">IFERROR(INDEX(Base_Estudiantes!$B$4:$B$505,MATCH(D378,Base_Estudiantes!$C$4:$C$505,0)),"")</f>
        <v/>
      </c>
      <c r="G378" s="7" t="str">
        <f t="array" ref="G378">IFERROR(INDEX(Base_Estudiantes!$D$4:$D$505,MATCH(D378,Base_Estudiantes!$C$4:$C$505,0)),"")</f>
        <v/>
      </c>
      <c r="H378" s="7" t="str">
        <f t="array" ref="H378">IFERROR(INDEX(Base_Estudiantes!$F$4:$F$505,MATCH(D378,Base_Estudiantes!$C$4:$C$505,0)),"")</f>
        <v/>
      </c>
      <c r="I378" s="7" t="str">
        <f t="array" ref="I378">IFERROR(INDEX(Base_Estudiantes!$G$4:$G$505,MATCH(D378,Base_Estudiantes!$C$4:$C$505,0)),"")</f>
        <v/>
      </c>
      <c r="J378" s="7" t="str">
        <f t="array" ref="J378">IFERROR(INDEX(Base_Estudiantes!$H$4:$H$505,MATCH(D378,Base_Estudiantes!$C$4:$C$505,0)),"")</f>
        <v/>
      </c>
      <c r="K378" s="5"/>
      <c r="L378" s="5"/>
      <c r="M378" s="5"/>
      <c r="N378" s="5"/>
      <c r="O378" s="5"/>
      <c r="P378" s="5"/>
      <c r="Q378" s="5"/>
      <c r="R378" s="20"/>
      <c r="S378" s="5"/>
      <c r="T378" s="5"/>
    </row>
    <row r="379" spans="1:20" ht="15.75" customHeight="1">
      <c r="A379" s="19" t="str">
        <f t="shared" si="0"/>
        <v/>
      </c>
      <c r="B379" s="6"/>
      <c r="C379" s="20"/>
      <c r="D379" s="5"/>
      <c r="E379" s="7" t="str">
        <f t="array" ref="E379">IFERROR(INDEX(Base_Estudiantes!$A$4:$A$505,MATCH(D379,Base_Estudiantes!$C$4:$C$505,0)),"")</f>
        <v/>
      </c>
      <c r="F379" s="7" t="str">
        <f t="array" ref="F379">IFERROR(INDEX(Base_Estudiantes!$B$4:$B$505,MATCH(D379,Base_Estudiantes!$C$4:$C$505,0)),"")</f>
        <v/>
      </c>
      <c r="G379" s="7" t="str">
        <f t="array" ref="G379">IFERROR(INDEX(Base_Estudiantes!$D$4:$D$505,MATCH(D379,Base_Estudiantes!$C$4:$C$505,0)),"")</f>
        <v/>
      </c>
      <c r="H379" s="7" t="str">
        <f t="array" ref="H379">IFERROR(INDEX(Base_Estudiantes!$F$4:$F$505,MATCH(D379,Base_Estudiantes!$C$4:$C$505,0)),"")</f>
        <v/>
      </c>
      <c r="I379" s="7" t="str">
        <f t="array" ref="I379">IFERROR(INDEX(Base_Estudiantes!$G$4:$G$505,MATCH(D379,Base_Estudiantes!$C$4:$C$505,0)),"")</f>
        <v/>
      </c>
      <c r="J379" s="7" t="str">
        <f t="array" ref="J379">IFERROR(INDEX(Base_Estudiantes!$H$4:$H$505,MATCH(D379,Base_Estudiantes!$C$4:$C$505,0)),"")</f>
        <v/>
      </c>
      <c r="K379" s="5"/>
      <c r="L379" s="5"/>
      <c r="M379" s="5"/>
      <c r="N379" s="5"/>
      <c r="O379" s="5"/>
      <c r="P379" s="5"/>
      <c r="Q379" s="5"/>
      <c r="R379" s="20"/>
      <c r="S379" s="5"/>
      <c r="T379" s="5"/>
    </row>
    <row r="380" spans="1:20" ht="15.75" customHeight="1">
      <c r="A380" s="19" t="str">
        <f t="shared" si="0"/>
        <v/>
      </c>
      <c r="B380" s="6"/>
      <c r="C380" s="20"/>
      <c r="D380" s="5"/>
      <c r="E380" s="7" t="str">
        <f t="array" ref="E380">IFERROR(INDEX(Base_Estudiantes!$A$4:$A$505,MATCH(D380,Base_Estudiantes!$C$4:$C$505,0)),"")</f>
        <v/>
      </c>
      <c r="F380" s="7" t="str">
        <f t="array" ref="F380">IFERROR(INDEX(Base_Estudiantes!$B$4:$B$505,MATCH(D380,Base_Estudiantes!$C$4:$C$505,0)),"")</f>
        <v/>
      </c>
      <c r="G380" s="7" t="str">
        <f t="array" ref="G380">IFERROR(INDEX(Base_Estudiantes!$D$4:$D$505,MATCH(D380,Base_Estudiantes!$C$4:$C$505,0)),"")</f>
        <v/>
      </c>
      <c r="H380" s="7" t="str">
        <f t="array" ref="H380">IFERROR(INDEX(Base_Estudiantes!$F$4:$F$505,MATCH(D380,Base_Estudiantes!$C$4:$C$505,0)),"")</f>
        <v/>
      </c>
      <c r="I380" s="7" t="str">
        <f t="array" ref="I380">IFERROR(INDEX(Base_Estudiantes!$G$4:$G$505,MATCH(D380,Base_Estudiantes!$C$4:$C$505,0)),"")</f>
        <v/>
      </c>
      <c r="J380" s="7" t="str">
        <f t="array" ref="J380">IFERROR(INDEX(Base_Estudiantes!$H$4:$H$505,MATCH(D380,Base_Estudiantes!$C$4:$C$505,0)),"")</f>
        <v/>
      </c>
      <c r="K380" s="5"/>
      <c r="L380" s="5"/>
      <c r="M380" s="5"/>
      <c r="N380" s="5"/>
      <c r="O380" s="5"/>
      <c r="P380" s="5"/>
      <c r="Q380" s="5"/>
      <c r="R380" s="20"/>
      <c r="S380" s="5"/>
      <c r="T380" s="5"/>
    </row>
    <row r="381" spans="1:20" ht="15.75" customHeight="1">
      <c r="A381" s="19" t="str">
        <f t="shared" si="0"/>
        <v/>
      </c>
      <c r="B381" s="6"/>
      <c r="C381" s="20"/>
      <c r="D381" s="5"/>
      <c r="E381" s="7" t="str">
        <f t="array" ref="E381">IFERROR(INDEX(Base_Estudiantes!$A$4:$A$505,MATCH(D381,Base_Estudiantes!$C$4:$C$505,0)),"")</f>
        <v/>
      </c>
      <c r="F381" s="7" t="str">
        <f t="array" ref="F381">IFERROR(INDEX(Base_Estudiantes!$B$4:$B$505,MATCH(D381,Base_Estudiantes!$C$4:$C$505,0)),"")</f>
        <v/>
      </c>
      <c r="G381" s="7" t="str">
        <f t="array" ref="G381">IFERROR(INDEX(Base_Estudiantes!$D$4:$D$505,MATCH(D381,Base_Estudiantes!$C$4:$C$505,0)),"")</f>
        <v/>
      </c>
      <c r="H381" s="7" t="str">
        <f t="array" ref="H381">IFERROR(INDEX(Base_Estudiantes!$F$4:$F$505,MATCH(D381,Base_Estudiantes!$C$4:$C$505,0)),"")</f>
        <v/>
      </c>
      <c r="I381" s="7" t="str">
        <f t="array" ref="I381">IFERROR(INDEX(Base_Estudiantes!$G$4:$G$505,MATCH(D381,Base_Estudiantes!$C$4:$C$505,0)),"")</f>
        <v/>
      </c>
      <c r="J381" s="7" t="str">
        <f t="array" ref="J381">IFERROR(INDEX(Base_Estudiantes!$H$4:$H$505,MATCH(D381,Base_Estudiantes!$C$4:$C$505,0)),"")</f>
        <v/>
      </c>
      <c r="K381" s="5"/>
      <c r="L381" s="5"/>
      <c r="M381" s="5"/>
      <c r="N381" s="5"/>
      <c r="O381" s="5"/>
      <c r="P381" s="5"/>
      <c r="Q381" s="5"/>
      <c r="R381" s="20"/>
      <c r="S381" s="5"/>
      <c r="T381" s="5"/>
    </row>
    <row r="382" spans="1:20" ht="15.75" customHeight="1">
      <c r="A382" s="19" t="str">
        <f t="shared" si="0"/>
        <v/>
      </c>
      <c r="B382" s="6"/>
      <c r="C382" s="20"/>
      <c r="D382" s="5"/>
      <c r="E382" s="7" t="str">
        <f t="array" ref="E382">IFERROR(INDEX(Base_Estudiantes!$A$4:$A$505,MATCH(D382,Base_Estudiantes!$C$4:$C$505,0)),"")</f>
        <v/>
      </c>
      <c r="F382" s="7" t="str">
        <f t="array" ref="F382">IFERROR(INDEX(Base_Estudiantes!$B$4:$B$505,MATCH(D382,Base_Estudiantes!$C$4:$C$505,0)),"")</f>
        <v/>
      </c>
      <c r="G382" s="7" t="str">
        <f t="array" ref="G382">IFERROR(INDEX(Base_Estudiantes!$D$4:$D$505,MATCH(D382,Base_Estudiantes!$C$4:$C$505,0)),"")</f>
        <v/>
      </c>
      <c r="H382" s="7" t="str">
        <f t="array" ref="H382">IFERROR(INDEX(Base_Estudiantes!$F$4:$F$505,MATCH(D382,Base_Estudiantes!$C$4:$C$505,0)),"")</f>
        <v/>
      </c>
      <c r="I382" s="7" t="str">
        <f t="array" ref="I382">IFERROR(INDEX(Base_Estudiantes!$G$4:$G$505,MATCH(D382,Base_Estudiantes!$C$4:$C$505,0)),"")</f>
        <v/>
      </c>
      <c r="J382" s="7" t="str">
        <f t="array" ref="J382">IFERROR(INDEX(Base_Estudiantes!$H$4:$H$505,MATCH(D382,Base_Estudiantes!$C$4:$C$505,0)),"")</f>
        <v/>
      </c>
      <c r="K382" s="5"/>
      <c r="L382" s="5"/>
      <c r="M382" s="5"/>
      <c r="N382" s="5"/>
      <c r="O382" s="5"/>
      <c r="P382" s="5"/>
      <c r="Q382" s="5"/>
      <c r="R382" s="20"/>
      <c r="S382" s="5"/>
      <c r="T382" s="5"/>
    </row>
    <row r="383" spans="1:20" ht="15.75" customHeight="1">
      <c r="A383" s="19" t="str">
        <f t="shared" si="0"/>
        <v/>
      </c>
      <c r="B383" s="6"/>
      <c r="C383" s="20"/>
      <c r="D383" s="5"/>
      <c r="E383" s="7" t="str">
        <f t="array" ref="E383">IFERROR(INDEX(Base_Estudiantes!$A$4:$A$505,MATCH(D383,Base_Estudiantes!$C$4:$C$505,0)),"")</f>
        <v/>
      </c>
      <c r="F383" s="7" t="str">
        <f t="array" ref="F383">IFERROR(INDEX(Base_Estudiantes!$B$4:$B$505,MATCH(D383,Base_Estudiantes!$C$4:$C$505,0)),"")</f>
        <v/>
      </c>
      <c r="G383" s="7" t="str">
        <f t="array" ref="G383">IFERROR(INDEX(Base_Estudiantes!$D$4:$D$505,MATCH(D383,Base_Estudiantes!$C$4:$C$505,0)),"")</f>
        <v/>
      </c>
      <c r="H383" s="7" t="str">
        <f t="array" ref="H383">IFERROR(INDEX(Base_Estudiantes!$F$4:$F$505,MATCH(D383,Base_Estudiantes!$C$4:$C$505,0)),"")</f>
        <v/>
      </c>
      <c r="I383" s="7" t="str">
        <f t="array" ref="I383">IFERROR(INDEX(Base_Estudiantes!$G$4:$G$505,MATCH(D383,Base_Estudiantes!$C$4:$C$505,0)),"")</f>
        <v/>
      </c>
      <c r="J383" s="7" t="str">
        <f t="array" ref="J383">IFERROR(INDEX(Base_Estudiantes!$H$4:$H$505,MATCH(D383,Base_Estudiantes!$C$4:$C$505,0)),"")</f>
        <v/>
      </c>
      <c r="K383" s="5"/>
      <c r="L383" s="5"/>
      <c r="M383" s="5"/>
      <c r="N383" s="5"/>
      <c r="O383" s="5"/>
      <c r="P383" s="5"/>
      <c r="Q383" s="5"/>
      <c r="R383" s="20"/>
      <c r="S383" s="5"/>
      <c r="T383" s="5"/>
    </row>
    <row r="384" spans="1:20" ht="15.75" customHeight="1">
      <c r="A384" s="19" t="str">
        <f t="shared" si="0"/>
        <v/>
      </c>
      <c r="B384" s="6"/>
      <c r="C384" s="20"/>
      <c r="D384" s="5"/>
      <c r="E384" s="7" t="str">
        <f t="array" ref="E384">IFERROR(INDEX(Base_Estudiantes!$A$4:$A$505,MATCH(D384,Base_Estudiantes!$C$4:$C$505,0)),"")</f>
        <v/>
      </c>
      <c r="F384" s="7" t="str">
        <f t="array" ref="F384">IFERROR(INDEX(Base_Estudiantes!$B$4:$B$505,MATCH(D384,Base_Estudiantes!$C$4:$C$505,0)),"")</f>
        <v/>
      </c>
      <c r="G384" s="7" t="str">
        <f t="array" ref="G384">IFERROR(INDEX(Base_Estudiantes!$D$4:$D$505,MATCH(D384,Base_Estudiantes!$C$4:$C$505,0)),"")</f>
        <v/>
      </c>
      <c r="H384" s="7" t="str">
        <f t="array" ref="H384">IFERROR(INDEX(Base_Estudiantes!$F$4:$F$505,MATCH(D384,Base_Estudiantes!$C$4:$C$505,0)),"")</f>
        <v/>
      </c>
      <c r="I384" s="7" t="str">
        <f t="array" ref="I384">IFERROR(INDEX(Base_Estudiantes!$G$4:$G$505,MATCH(D384,Base_Estudiantes!$C$4:$C$505,0)),"")</f>
        <v/>
      </c>
      <c r="J384" s="7" t="str">
        <f t="array" ref="J384">IFERROR(INDEX(Base_Estudiantes!$H$4:$H$505,MATCH(D384,Base_Estudiantes!$C$4:$C$505,0)),"")</f>
        <v/>
      </c>
      <c r="K384" s="5"/>
      <c r="L384" s="5"/>
      <c r="M384" s="5"/>
      <c r="N384" s="5"/>
      <c r="O384" s="5"/>
      <c r="P384" s="5"/>
      <c r="Q384" s="5"/>
      <c r="R384" s="20"/>
      <c r="S384" s="5"/>
      <c r="T384" s="5"/>
    </row>
    <row r="385" spans="1:20" ht="15.75" customHeight="1">
      <c r="A385" s="19" t="str">
        <f t="shared" si="0"/>
        <v/>
      </c>
      <c r="B385" s="6"/>
      <c r="C385" s="20"/>
      <c r="D385" s="5"/>
      <c r="E385" s="7" t="str">
        <f t="array" ref="E385">IFERROR(INDEX(Base_Estudiantes!$A$4:$A$505,MATCH(D385,Base_Estudiantes!$C$4:$C$505,0)),"")</f>
        <v/>
      </c>
      <c r="F385" s="7" t="str">
        <f t="array" ref="F385">IFERROR(INDEX(Base_Estudiantes!$B$4:$B$505,MATCH(D385,Base_Estudiantes!$C$4:$C$505,0)),"")</f>
        <v/>
      </c>
      <c r="G385" s="7" t="str">
        <f t="array" ref="G385">IFERROR(INDEX(Base_Estudiantes!$D$4:$D$505,MATCH(D385,Base_Estudiantes!$C$4:$C$505,0)),"")</f>
        <v/>
      </c>
      <c r="H385" s="7" t="str">
        <f t="array" ref="H385">IFERROR(INDEX(Base_Estudiantes!$F$4:$F$505,MATCH(D385,Base_Estudiantes!$C$4:$C$505,0)),"")</f>
        <v/>
      </c>
      <c r="I385" s="7" t="str">
        <f t="array" ref="I385">IFERROR(INDEX(Base_Estudiantes!$G$4:$G$505,MATCH(D385,Base_Estudiantes!$C$4:$C$505,0)),"")</f>
        <v/>
      </c>
      <c r="J385" s="7" t="str">
        <f t="array" ref="J385">IFERROR(INDEX(Base_Estudiantes!$H$4:$H$505,MATCH(D385,Base_Estudiantes!$C$4:$C$505,0)),"")</f>
        <v/>
      </c>
      <c r="K385" s="5"/>
      <c r="L385" s="5"/>
      <c r="M385" s="5"/>
      <c r="N385" s="5"/>
      <c r="O385" s="5"/>
      <c r="P385" s="5"/>
      <c r="Q385" s="5"/>
      <c r="R385" s="20"/>
      <c r="S385" s="5"/>
      <c r="T385" s="5"/>
    </row>
    <row r="386" spans="1:20" ht="15.75" customHeight="1">
      <c r="A386" s="19" t="str">
        <f t="shared" si="0"/>
        <v/>
      </c>
      <c r="B386" s="6"/>
      <c r="C386" s="20"/>
      <c r="D386" s="5"/>
      <c r="E386" s="7" t="str">
        <f t="array" ref="E386">IFERROR(INDEX(Base_Estudiantes!$A$4:$A$505,MATCH(D386,Base_Estudiantes!$C$4:$C$505,0)),"")</f>
        <v/>
      </c>
      <c r="F386" s="7" t="str">
        <f t="array" ref="F386">IFERROR(INDEX(Base_Estudiantes!$B$4:$B$505,MATCH(D386,Base_Estudiantes!$C$4:$C$505,0)),"")</f>
        <v/>
      </c>
      <c r="G386" s="7" t="str">
        <f t="array" ref="G386">IFERROR(INDEX(Base_Estudiantes!$D$4:$D$505,MATCH(D386,Base_Estudiantes!$C$4:$C$505,0)),"")</f>
        <v/>
      </c>
      <c r="H386" s="7" t="str">
        <f t="array" ref="H386">IFERROR(INDEX(Base_Estudiantes!$F$4:$F$505,MATCH(D386,Base_Estudiantes!$C$4:$C$505,0)),"")</f>
        <v/>
      </c>
      <c r="I386" s="7" t="str">
        <f t="array" ref="I386">IFERROR(INDEX(Base_Estudiantes!$G$4:$G$505,MATCH(D386,Base_Estudiantes!$C$4:$C$505,0)),"")</f>
        <v/>
      </c>
      <c r="J386" s="7" t="str">
        <f t="array" ref="J386">IFERROR(INDEX(Base_Estudiantes!$H$4:$H$505,MATCH(D386,Base_Estudiantes!$C$4:$C$505,0)),"")</f>
        <v/>
      </c>
      <c r="K386" s="5"/>
      <c r="L386" s="5"/>
      <c r="M386" s="5"/>
      <c r="N386" s="5"/>
      <c r="O386" s="5"/>
      <c r="P386" s="5"/>
      <c r="Q386" s="5"/>
      <c r="R386" s="20"/>
      <c r="S386" s="5"/>
      <c r="T386" s="5"/>
    </row>
    <row r="387" spans="1:20" ht="15.75" customHeight="1">
      <c r="A387" s="19" t="str">
        <f t="shared" si="0"/>
        <v/>
      </c>
      <c r="B387" s="6"/>
      <c r="C387" s="20"/>
      <c r="D387" s="5"/>
      <c r="E387" s="7" t="str">
        <f t="array" ref="E387">IFERROR(INDEX(Base_Estudiantes!$A$4:$A$505,MATCH(D387,Base_Estudiantes!$C$4:$C$505,0)),"")</f>
        <v/>
      </c>
      <c r="F387" s="7" t="str">
        <f t="array" ref="F387">IFERROR(INDEX(Base_Estudiantes!$B$4:$B$505,MATCH(D387,Base_Estudiantes!$C$4:$C$505,0)),"")</f>
        <v/>
      </c>
      <c r="G387" s="7" t="str">
        <f t="array" ref="G387">IFERROR(INDEX(Base_Estudiantes!$D$4:$D$505,MATCH(D387,Base_Estudiantes!$C$4:$C$505,0)),"")</f>
        <v/>
      </c>
      <c r="H387" s="7" t="str">
        <f t="array" ref="H387">IFERROR(INDEX(Base_Estudiantes!$F$4:$F$505,MATCH(D387,Base_Estudiantes!$C$4:$C$505,0)),"")</f>
        <v/>
      </c>
      <c r="I387" s="7" t="str">
        <f t="array" ref="I387">IFERROR(INDEX(Base_Estudiantes!$G$4:$G$505,MATCH(D387,Base_Estudiantes!$C$4:$C$505,0)),"")</f>
        <v/>
      </c>
      <c r="J387" s="7" t="str">
        <f t="array" ref="J387">IFERROR(INDEX(Base_Estudiantes!$H$4:$H$505,MATCH(D387,Base_Estudiantes!$C$4:$C$505,0)),"")</f>
        <v/>
      </c>
      <c r="K387" s="5"/>
      <c r="L387" s="5"/>
      <c r="M387" s="5"/>
      <c r="N387" s="5"/>
      <c r="O387" s="5"/>
      <c r="P387" s="5"/>
      <c r="Q387" s="5"/>
      <c r="R387" s="20"/>
      <c r="S387" s="5"/>
      <c r="T387" s="5"/>
    </row>
    <row r="388" spans="1:20" ht="15.75" customHeight="1">
      <c r="A388" s="19" t="str">
        <f t="shared" si="0"/>
        <v/>
      </c>
      <c r="B388" s="6"/>
      <c r="C388" s="20"/>
      <c r="D388" s="5"/>
      <c r="E388" s="7" t="str">
        <f t="array" ref="E388">IFERROR(INDEX(Base_Estudiantes!$A$4:$A$505,MATCH(D388,Base_Estudiantes!$C$4:$C$505,0)),"")</f>
        <v/>
      </c>
      <c r="F388" s="7" t="str">
        <f t="array" ref="F388">IFERROR(INDEX(Base_Estudiantes!$B$4:$B$505,MATCH(D388,Base_Estudiantes!$C$4:$C$505,0)),"")</f>
        <v/>
      </c>
      <c r="G388" s="7" t="str">
        <f t="array" ref="G388">IFERROR(INDEX(Base_Estudiantes!$D$4:$D$505,MATCH(D388,Base_Estudiantes!$C$4:$C$505,0)),"")</f>
        <v/>
      </c>
      <c r="H388" s="7" t="str">
        <f t="array" ref="H388">IFERROR(INDEX(Base_Estudiantes!$F$4:$F$505,MATCH(D388,Base_Estudiantes!$C$4:$C$505,0)),"")</f>
        <v/>
      </c>
      <c r="I388" s="7" t="str">
        <f t="array" ref="I388">IFERROR(INDEX(Base_Estudiantes!$G$4:$G$505,MATCH(D388,Base_Estudiantes!$C$4:$C$505,0)),"")</f>
        <v/>
      </c>
      <c r="J388" s="7" t="str">
        <f t="array" ref="J388">IFERROR(INDEX(Base_Estudiantes!$H$4:$H$505,MATCH(D388,Base_Estudiantes!$C$4:$C$505,0)),"")</f>
        <v/>
      </c>
      <c r="K388" s="5"/>
      <c r="L388" s="5"/>
      <c r="M388" s="5"/>
      <c r="N388" s="5"/>
      <c r="O388" s="5"/>
      <c r="P388" s="5"/>
      <c r="Q388" s="5"/>
      <c r="R388" s="20"/>
      <c r="S388" s="5"/>
      <c r="T388" s="5"/>
    </row>
    <row r="389" spans="1:20" ht="15.75" customHeight="1">
      <c r="A389" s="19" t="str">
        <f t="shared" si="0"/>
        <v/>
      </c>
      <c r="B389" s="6"/>
      <c r="C389" s="20"/>
      <c r="D389" s="5"/>
      <c r="E389" s="7" t="str">
        <f t="array" ref="E389">IFERROR(INDEX(Base_Estudiantes!$A$4:$A$505,MATCH(D389,Base_Estudiantes!$C$4:$C$505,0)),"")</f>
        <v/>
      </c>
      <c r="F389" s="7" t="str">
        <f t="array" ref="F389">IFERROR(INDEX(Base_Estudiantes!$B$4:$B$505,MATCH(D389,Base_Estudiantes!$C$4:$C$505,0)),"")</f>
        <v/>
      </c>
      <c r="G389" s="7" t="str">
        <f t="array" ref="G389">IFERROR(INDEX(Base_Estudiantes!$D$4:$D$505,MATCH(D389,Base_Estudiantes!$C$4:$C$505,0)),"")</f>
        <v/>
      </c>
      <c r="H389" s="7" t="str">
        <f t="array" ref="H389">IFERROR(INDEX(Base_Estudiantes!$F$4:$F$505,MATCH(D389,Base_Estudiantes!$C$4:$C$505,0)),"")</f>
        <v/>
      </c>
      <c r="I389" s="7" t="str">
        <f t="array" ref="I389">IFERROR(INDEX(Base_Estudiantes!$G$4:$G$505,MATCH(D389,Base_Estudiantes!$C$4:$C$505,0)),"")</f>
        <v/>
      </c>
      <c r="J389" s="7" t="str">
        <f t="array" ref="J389">IFERROR(INDEX(Base_Estudiantes!$H$4:$H$505,MATCH(D389,Base_Estudiantes!$C$4:$C$505,0)),"")</f>
        <v/>
      </c>
      <c r="K389" s="5"/>
      <c r="L389" s="5"/>
      <c r="M389" s="5"/>
      <c r="N389" s="5"/>
      <c r="O389" s="5"/>
      <c r="P389" s="5"/>
      <c r="Q389" s="5"/>
      <c r="R389" s="20"/>
      <c r="S389" s="5"/>
      <c r="T389" s="5"/>
    </row>
    <row r="390" spans="1:20" ht="15.75" customHeight="1">
      <c r="A390" s="19" t="str">
        <f t="shared" si="0"/>
        <v/>
      </c>
      <c r="B390" s="6"/>
      <c r="C390" s="20"/>
      <c r="D390" s="5"/>
      <c r="E390" s="7" t="str">
        <f t="array" ref="E390">IFERROR(INDEX(Base_Estudiantes!$A$4:$A$505,MATCH(D390,Base_Estudiantes!$C$4:$C$505,0)),"")</f>
        <v/>
      </c>
      <c r="F390" s="7" t="str">
        <f t="array" ref="F390">IFERROR(INDEX(Base_Estudiantes!$B$4:$B$505,MATCH(D390,Base_Estudiantes!$C$4:$C$505,0)),"")</f>
        <v/>
      </c>
      <c r="G390" s="7" t="str">
        <f t="array" ref="G390">IFERROR(INDEX(Base_Estudiantes!$D$4:$D$505,MATCH(D390,Base_Estudiantes!$C$4:$C$505,0)),"")</f>
        <v/>
      </c>
      <c r="H390" s="7" t="str">
        <f t="array" ref="H390">IFERROR(INDEX(Base_Estudiantes!$F$4:$F$505,MATCH(D390,Base_Estudiantes!$C$4:$C$505,0)),"")</f>
        <v/>
      </c>
      <c r="I390" s="7" t="str">
        <f t="array" ref="I390">IFERROR(INDEX(Base_Estudiantes!$G$4:$G$505,MATCH(D390,Base_Estudiantes!$C$4:$C$505,0)),"")</f>
        <v/>
      </c>
      <c r="J390" s="7" t="str">
        <f t="array" ref="J390">IFERROR(INDEX(Base_Estudiantes!$H$4:$H$505,MATCH(D390,Base_Estudiantes!$C$4:$C$505,0)),"")</f>
        <v/>
      </c>
      <c r="K390" s="5"/>
      <c r="L390" s="5"/>
      <c r="M390" s="5"/>
      <c r="N390" s="5"/>
      <c r="O390" s="5"/>
      <c r="P390" s="5"/>
      <c r="Q390" s="5"/>
      <c r="R390" s="20"/>
      <c r="S390" s="5"/>
      <c r="T390" s="5"/>
    </row>
    <row r="391" spans="1:20" ht="15.75" customHeight="1">
      <c r="A391" s="19" t="str">
        <f t="shared" si="0"/>
        <v/>
      </c>
      <c r="B391" s="6"/>
      <c r="C391" s="20"/>
      <c r="D391" s="5"/>
      <c r="E391" s="7" t="str">
        <f t="array" ref="E391">IFERROR(INDEX(Base_Estudiantes!$A$4:$A$505,MATCH(D391,Base_Estudiantes!$C$4:$C$505,0)),"")</f>
        <v/>
      </c>
      <c r="F391" s="7" t="str">
        <f t="array" ref="F391">IFERROR(INDEX(Base_Estudiantes!$B$4:$B$505,MATCH(D391,Base_Estudiantes!$C$4:$C$505,0)),"")</f>
        <v/>
      </c>
      <c r="G391" s="7" t="str">
        <f t="array" ref="G391">IFERROR(INDEX(Base_Estudiantes!$D$4:$D$505,MATCH(D391,Base_Estudiantes!$C$4:$C$505,0)),"")</f>
        <v/>
      </c>
      <c r="H391" s="7" t="str">
        <f t="array" ref="H391">IFERROR(INDEX(Base_Estudiantes!$F$4:$F$505,MATCH(D391,Base_Estudiantes!$C$4:$C$505,0)),"")</f>
        <v/>
      </c>
      <c r="I391" s="7" t="str">
        <f t="array" ref="I391">IFERROR(INDEX(Base_Estudiantes!$G$4:$G$505,MATCH(D391,Base_Estudiantes!$C$4:$C$505,0)),"")</f>
        <v/>
      </c>
      <c r="J391" s="7" t="str">
        <f t="array" ref="J391">IFERROR(INDEX(Base_Estudiantes!$H$4:$H$505,MATCH(D391,Base_Estudiantes!$C$4:$C$505,0)),"")</f>
        <v/>
      </c>
      <c r="K391" s="5"/>
      <c r="L391" s="5"/>
      <c r="M391" s="5"/>
      <c r="N391" s="5"/>
      <c r="O391" s="5"/>
      <c r="P391" s="5"/>
      <c r="Q391" s="5"/>
      <c r="R391" s="20"/>
      <c r="S391" s="5"/>
      <c r="T391" s="5"/>
    </row>
    <row r="392" spans="1:20" ht="15.75" customHeight="1">
      <c r="A392" s="19" t="str">
        <f t="shared" si="0"/>
        <v/>
      </c>
      <c r="B392" s="6"/>
      <c r="C392" s="20"/>
      <c r="D392" s="5"/>
      <c r="E392" s="7" t="str">
        <f t="array" ref="E392">IFERROR(INDEX(Base_Estudiantes!$A$4:$A$505,MATCH(D392,Base_Estudiantes!$C$4:$C$505,0)),"")</f>
        <v/>
      </c>
      <c r="F392" s="7" t="str">
        <f t="array" ref="F392">IFERROR(INDEX(Base_Estudiantes!$B$4:$B$505,MATCH(D392,Base_Estudiantes!$C$4:$C$505,0)),"")</f>
        <v/>
      </c>
      <c r="G392" s="7" t="str">
        <f t="array" ref="G392">IFERROR(INDEX(Base_Estudiantes!$D$4:$D$505,MATCH(D392,Base_Estudiantes!$C$4:$C$505,0)),"")</f>
        <v/>
      </c>
      <c r="H392" s="7" t="str">
        <f t="array" ref="H392">IFERROR(INDEX(Base_Estudiantes!$F$4:$F$505,MATCH(D392,Base_Estudiantes!$C$4:$C$505,0)),"")</f>
        <v/>
      </c>
      <c r="I392" s="7" t="str">
        <f t="array" ref="I392">IFERROR(INDEX(Base_Estudiantes!$G$4:$G$505,MATCH(D392,Base_Estudiantes!$C$4:$C$505,0)),"")</f>
        <v/>
      </c>
      <c r="J392" s="7" t="str">
        <f t="array" ref="J392">IFERROR(INDEX(Base_Estudiantes!$H$4:$H$505,MATCH(D392,Base_Estudiantes!$C$4:$C$505,0)),"")</f>
        <v/>
      </c>
      <c r="K392" s="5"/>
      <c r="L392" s="5"/>
      <c r="M392" s="5"/>
      <c r="N392" s="5"/>
      <c r="O392" s="5"/>
      <c r="P392" s="5"/>
      <c r="Q392" s="5"/>
      <c r="R392" s="20"/>
      <c r="S392" s="5"/>
      <c r="T392" s="5"/>
    </row>
    <row r="393" spans="1:20" ht="15.75" customHeight="1">
      <c r="A393" s="19" t="str">
        <f t="shared" si="0"/>
        <v/>
      </c>
      <c r="B393" s="6"/>
      <c r="C393" s="20"/>
      <c r="D393" s="5"/>
      <c r="E393" s="7" t="str">
        <f t="array" ref="E393">IFERROR(INDEX(Base_Estudiantes!$A$4:$A$505,MATCH(D393,Base_Estudiantes!$C$4:$C$505,0)),"")</f>
        <v/>
      </c>
      <c r="F393" s="7" t="str">
        <f t="array" ref="F393">IFERROR(INDEX(Base_Estudiantes!$B$4:$B$505,MATCH(D393,Base_Estudiantes!$C$4:$C$505,0)),"")</f>
        <v/>
      </c>
      <c r="G393" s="7" t="str">
        <f t="array" ref="G393">IFERROR(INDEX(Base_Estudiantes!$D$4:$D$505,MATCH(D393,Base_Estudiantes!$C$4:$C$505,0)),"")</f>
        <v/>
      </c>
      <c r="H393" s="7" t="str">
        <f t="array" ref="H393">IFERROR(INDEX(Base_Estudiantes!$F$4:$F$505,MATCH(D393,Base_Estudiantes!$C$4:$C$505,0)),"")</f>
        <v/>
      </c>
      <c r="I393" s="7" t="str">
        <f t="array" ref="I393">IFERROR(INDEX(Base_Estudiantes!$G$4:$G$505,MATCH(D393,Base_Estudiantes!$C$4:$C$505,0)),"")</f>
        <v/>
      </c>
      <c r="J393" s="7" t="str">
        <f t="array" ref="J393">IFERROR(INDEX(Base_Estudiantes!$H$4:$H$505,MATCH(D393,Base_Estudiantes!$C$4:$C$505,0)),"")</f>
        <v/>
      </c>
      <c r="K393" s="5"/>
      <c r="L393" s="5"/>
      <c r="M393" s="5"/>
      <c r="N393" s="5"/>
      <c r="O393" s="5"/>
      <c r="P393" s="5"/>
      <c r="Q393" s="5"/>
      <c r="R393" s="20"/>
      <c r="S393" s="5"/>
      <c r="T393" s="5"/>
    </row>
    <row r="394" spans="1:20" ht="15.75" customHeight="1">
      <c r="A394" s="19" t="str">
        <f t="shared" si="0"/>
        <v/>
      </c>
      <c r="B394" s="6"/>
      <c r="C394" s="20"/>
      <c r="D394" s="5"/>
      <c r="E394" s="7" t="str">
        <f t="array" ref="E394">IFERROR(INDEX(Base_Estudiantes!$A$4:$A$505,MATCH(D394,Base_Estudiantes!$C$4:$C$505,0)),"")</f>
        <v/>
      </c>
      <c r="F394" s="7" t="str">
        <f t="array" ref="F394">IFERROR(INDEX(Base_Estudiantes!$B$4:$B$505,MATCH(D394,Base_Estudiantes!$C$4:$C$505,0)),"")</f>
        <v/>
      </c>
      <c r="G394" s="7" t="str">
        <f t="array" ref="G394">IFERROR(INDEX(Base_Estudiantes!$D$4:$D$505,MATCH(D394,Base_Estudiantes!$C$4:$C$505,0)),"")</f>
        <v/>
      </c>
      <c r="H394" s="7" t="str">
        <f t="array" ref="H394">IFERROR(INDEX(Base_Estudiantes!$F$4:$F$505,MATCH(D394,Base_Estudiantes!$C$4:$C$505,0)),"")</f>
        <v/>
      </c>
      <c r="I394" s="7" t="str">
        <f t="array" ref="I394">IFERROR(INDEX(Base_Estudiantes!$G$4:$G$505,MATCH(D394,Base_Estudiantes!$C$4:$C$505,0)),"")</f>
        <v/>
      </c>
      <c r="J394" s="7" t="str">
        <f t="array" ref="J394">IFERROR(INDEX(Base_Estudiantes!$H$4:$H$505,MATCH(D394,Base_Estudiantes!$C$4:$C$505,0)),"")</f>
        <v/>
      </c>
      <c r="K394" s="5"/>
      <c r="L394" s="5"/>
      <c r="M394" s="5"/>
      <c r="N394" s="5"/>
      <c r="O394" s="5"/>
      <c r="P394" s="5"/>
      <c r="Q394" s="5"/>
      <c r="R394" s="20"/>
      <c r="S394" s="5"/>
      <c r="T394" s="5"/>
    </row>
    <row r="395" spans="1:20" ht="15.75" customHeight="1">
      <c r="A395" s="19" t="str">
        <f t="shared" si="0"/>
        <v/>
      </c>
      <c r="B395" s="6"/>
      <c r="C395" s="20"/>
      <c r="D395" s="5"/>
      <c r="E395" s="7" t="str">
        <f t="array" ref="E395">IFERROR(INDEX(Base_Estudiantes!$A$4:$A$505,MATCH(D395,Base_Estudiantes!$C$4:$C$505,0)),"")</f>
        <v/>
      </c>
      <c r="F395" s="7" t="str">
        <f t="array" ref="F395">IFERROR(INDEX(Base_Estudiantes!$B$4:$B$505,MATCH(D395,Base_Estudiantes!$C$4:$C$505,0)),"")</f>
        <v/>
      </c>
      <c r="G395" s="7" t="str">
        <f t="array" ref="G395">IFERROR(INDEX(Base_Estudiantes!$D$4:$D$505,MATCH(D395,Base_Estudiantes!$C$4:$C$505,0)),"")</f>
        <v/>
      </c>
      <c r="H395" s="7" t="str">
        <f t="array" ref="H395">IFERROR(INDEX(Base_Estudiantes!$F$4:$F$505,MATCH(D395,Base_Estudiantes!$C$4:$C$505,0)),"")</f>
        <v/>
      </c>
      <c r="I395" s="7" t="str">
        <f t="array" ref="I395">IFERROR(INDEX(Base_Estudiantes!$G$4:$G$505,MATCH(D395,Base_Estudiantes!$C$4:$C$505,0)),"")</f>
        <v/>
      </c>
      <c r="J395" s="7" t="str">
        <f t="array" ref="J395">IFERROR(INDEX(Base_Estudiantes!$H$4:$H$505,MATCH(D395,Base_Estudiantes!$C$4:$C$505,0)),"")</f>
        <v/>
      </c>
      <c r="K395" s="5"/>
      <c r="L395" s="5"/>
      <c r="M395" s="5"/>
      <c r="N395" s="5"/>
      <c r="O395" s="5"/>
      <c r="P395" s="5"/>
      <c r="Q395" s="5"/>
      <c r="R395" s="20"/>
      <c r="S395" s="5"/>
      <c r="T395" s="5"/>
    </row>
    <row r="396" spans="1:20" ht="15.75" customHeight="1">
      <c r="A396" s="19" t="str">
        <f t="shared" si="0"/>
        <v/>
      </c>
      <c r="B396" s="6"/>
      <c r="C396" s="20"/>
      <c r="D396" s="5"/>
      <c r="E396" s="7" t="str">
        <f t="array" ref="E396">IFERROR(INDEX(Base_Estudiantes!$A$4:$A$505,MATCH(D396,Base_Estudiantes!$C$4:$C$505,0)),"")</f>
        <v/>
      </c>
      <c r="F396" s="7" t="str">
        <f t="array" ref="F396">IFERROR(INDEX(Base_Estudiantes!$B$4:$B$505,MATCH(D396,Base_Estudiantes!$C$4:$C$505,0)),"")</f>
        <v/>
      </c>
      <c r="G396" s="7" t="str">
        <f t="array" ref="G396">IFERROR(INDEX(Base_Estudiantes!$D$4:$D$505,MATCH(D396,Base_Estudiantes!$C$4:$C$505,0)),"")</f>
        <v/>
      </c>
      <c r="H396" s="7" t="str">
        <f t="array" ref="H396">IFERROR(INDEX(Base_Estudiantes!$F$4:$F$505,MATCH(D396,Base_Estudiantes!$C$4:$C$505,0)),"")</f>
        <v/>
      </c>
      <c r="I396" s="7" t="str">
        <f t="array" ref="I396">IFERROR(INDEX(Base_Estudiantes!$G$4:$G$505,MATCH(D396,Base_Estudiantes!$C$4:$C$505,0)),"")</f>
        <v/>
      </c>
      <c r="J396" s="7" t="str">
        <f t="array" ref="J396">IFERROR(INDEX(Base_Estudiantes!$H$4:$H$505,MATCH(D396,Base_Estudiantes!$C$4:$C$505,0)),"")</f>
        <v/>
      </c>
      <c r="K396" s="5"/>
      <c r="L396" s="5"/>
      <c r="M396" s="5"/>
      <c r="N396" s="5"/>
      <c r="O396" s="5"/>
      <c r="P396" s="5"/>
      <c r="Q396" s="5"/>
      <c r="R396" s="20"/>
      <c r="S396" s="5"/>
      <c r="T396" s="5"/>
    </row>
    <row r="397" spans="1:20" ht="15.75" customHeight="1">
      <c r="A397" s="19" t="str">
        <f t="shared" si="0"/>
        <v/>
      </c>
      <c r="B397" s="6"/>
      <c r="C397" s="20"/>
      <c r="D397" s="5"/>
      <c r="E397" s="7" t="str">
        <f t="array" ref="E397">IFERROR(INDEX(Base_Estudiantes!$A$4:$A$505,MATCH(D397,Base_Estudiantes!$C$4:$C$505,0)),"")</f>
        <v/>
      </c>
      <c r="F397" s="7" t="str">
        <f t="array" ref="F397">IFERROR(INDEX(Base_Estudiantes!$B$4:$B$505,MATCH(D397,Base_Estudiantes!$C$4:$C$505,0)),"")</f>
        <v/>
      </c>
      <c r="G397" s="7" t="str">
        <f t="array" ref="G397">IFERROR(INDEX(Base_Estudiantes!$D$4:$D$505,MATCH(D397,Base_Estudiantes!$C$4:$C$505,0)),"")</f>
        <v/>
      </c>
      <c r="H397" s="7" t="str">
        <f t="array" ref="H397">IFERROR(INDEX(Base_Estudiantes!$F$4:$F$505,MATCH(D397,Base_Estudiantes!$C$4:$C$505,0)),"")</f>
        <v/>
      </c>
      <c r="I397" s="7" t="str">
        <f t="array" ref="I397">IFERROR(INDEX(Base_Estudiantes!$G$4:$G$505,MATCH(D397,Base_Estudiantes!$C$4:$C$505,0)),"")</f>
        <v/>
      </c>
      <c r="J397" s="7" t="str">
        <f t="array" ref="J397">IFERROR(INDEX(Base_Estudiantes!$H$4:$H$505,MATCH(D397,Base_Estudiantes!$C$4:$C$505,0)),"")</f>
        <v/>
      </c>
      <c r="K397" s="5"/>
      <c r="L397" s="5"/>
      <c r="M397" s="5"/>
      <c r="N397" s="5"/>
      <c r="O397" s="5"/>
      <c r="P397" s="5"/>
      <c r="Q397" s="5"/>
      <c r="R397" s="20"/>
      <c r="S397" s="5"/>
      <c r="T397" s="5"/>
    </row>
    <row r="398" spans="1:20" ht="15.75" customHeight="1">
      <c r="A398" s="19" t="str">
        <f t="shared" si="0"/>
        <v/>
      </c>
      <c r="B398" s="6"/>
      <c r="C398" s="20"/>
      <c r="D398" s="5"/>
      <c r="E398" s="7" t="str">
        <f t="array" ref="E398">IFERROR(INDEX(Base_Estudiantes!$A$4:$A$505,MATCH(D398,Base_Estudiantes!$C$4:$C$505,0)),"")</f>
        <v/>
      </c>
      <c r="F398" s="7" t="str">
        <f t="array" ref="F398">IFERROR(INDEX(Base_Estudiantes!$B$4:$B$505,MATCH(D398,Base_Estudiantes!$C$4:$C$505,0)),"")</f>
        <v/>
      </c>
      <c r="G398" s="7" t="str">
        <f t="array" ref="G398">IFERROR(INDEX(Base_Estudiantes!$D$4:$D$505,MATCH(D398,Base_Estudiantes!$C$4:$C$505,0)),"")</f>
        <v/>
      </c>
      <c r="H398" s="7" t="str">
        <f t="array" ref="H398">IFERROR(INDEX(Base_Estudiantes!$F$4:$F$505,MATCH(D398,Base_Estudiantes!$C$4:$C$505,0)),"")</f>
        <v/>
      </c>
      <c r="I398" s="7" t="str">
        <f t="array" ref="I398">IFERROR(INDEX(Base_Estudiantes!$G$4:$G$505,MATCH(D398,Base_Estudiantes!$C$4:$C$505,0)),"")</f>
        <v/>
      </c>
      <c r="J398" s="7" t="str">
        <f t="array" ref="J398">IFERROR(INDEX(Base_Estudiantes!$H$4:$H$505,MATCH(D398,Base_Estudiantes!$C$4:$C$505,0)),"")</f>
        <v/>
      </c>
      <c r="K398" s="5"/>
      <c r="L398" s="5"/>
      <c r="M398" s="5"/>
      <c r="N398" s="5"/>
      <c r="O398" s="5"/>
      <c r="P398" s="5"/>
      <c r="Q398" s="5"/>
      <c r="R398" s="20"/>
      <c r="S398" s="5"/>
      <c r="T398" s="5"/>
    </row>
    <row r="399" spans="1:20" ht="15.75" customHeight="1">
      <c r="A399" s="19" t="str">
        <f t="shared" si="0"/>
        <v/>
      </c>
      <c r="B399" s="6"/>
      <c r="C399" s="20"/>
      <c r="D399" s="5"/>
      <c r="E399" s="7" t="str">
        <f t="array" ref="E399">IFERROR(INDEX(Base_Estudiantes!$A$4:$A$505,MATCH(D399,Base_Estudiantes!$C$4:$C$505,0)),"")</f>
        <v/>
      </c>
      <c r="F399" s="7" t="str">
        <f t="array" ref="F399">IFERROR(INDEX(Base_Estudiantes!$B$4:$B$505,MATCH(D399,Base_Estudiantes!$C$4:$C$505,0)),"")</f>
        <v/>
      </c>
      <c r="G399" s="7" t="str">
        <f t="array" ref="G399">IFERROR(INDEX(Base_Estudiantes!$D$4:$D$505,MATCH(D399,Base_Estudiantes!$C$4:$C$505,0)),"")</f>
        <v/>
      </c>
      <c r="H399" s="7" t="str">
        <f t="array" ref="H399">IFERROR(INDEX(Base_Estudiantes!$F$4:$F$505,MATCH(D399,Base_Estudiantes!$C$4:$C$505,0)),"")</f>
        <v/>
      </c>
      <c r="I399" s="7" t="str">
        <f t="array" ref="I399">IFERROR(INDEX(Base_Estudiantes!$G$4:$G$505,MATCH(D399,Base_Estudiantes!$C$4:$C$505,0)),"")</f>
        <v/>
      </c>
      <c r="J399" s="7" t="str">
        <f t="array" ref="J399">IFERROR(INDEX(Base_Estudiantes!$H$4:$H$505,MATCH(D399,Base_Estudiantes!$C$4:$C$505,0)),"")</f>
        <v/>
      </c>
      <c r="K399" s="5"/>
      <c r="L399" s="5"/>
      <c r="M399" s="5"/>
      <c r="N399" s="5"/>
      <c r="O399" s="5"/>
      <c r="P399" s="5"/>
      <c r="Q399" s="5"/>
      <c r="R399" s="20"/>
      <c r="S399" s="5"/>
      <c r="T399" s="5"/>
    </row>
    <row r="400" spans="1:20" ht="15.75" customHeight="1">
      <c r="A400" s="19" t="str">
        <f t="shared" si="0"/>
        <v/>
      </c>
      <c r="B400" s="6"/>
      <c r="C400" s="20"/>
      <c r="D400" s="5"/>
      <c r="E400" s="7" t="str">
        <f t="array" ref="E400">IFERROR(INDEX(Base_Estudiantes!$A$4:$A$505,MATCH(D400,Base_Estudiantes!$C$4:$C$505,0)),"")</f>
        <v/>
      </c>
      <c r="F400" s="7" t="str">
        <f t="array" ref="F400">IFERROR(INDEX(Base_Estudiantes!$B$4:$B$505,MATCH(D400,Base_Estudiantes!$C$4:$C$505,0)),"")</f>
        <v/>
      </c>
      <c r="G400" s="7" t="str">
        <f t="array" ref="G400">IFERROR(INDEX(Base_Estudiantes!$D$4:$D$505,MATCH(D400,Base_Estudiantes!$C$4:$C$505,0)),"")</f>
        <v/>
      </c>
      <c r="H400" s="7" t="str">
        <f t="array" ref="H400">IFERROR(INDEX(Base_Estudiantes!$F$4:$F$505,MATCH(D400,Base_Estudiantes!$C$4:$C$505,0)),"")</f>
        <v/>
      </c>
      <c r="I400" s="7" t="str">
        <f t="array" ref="I400">IFERROR(INDEX(Base_Estudiantes!$G$4:$G$505,MATCH(D400,Base_Estudiantes!$C$4:$C$505,0)),"")</f>
        <v/>
      </c>
      <c r="J400" s="7" t="str">
        <f t="array" ref="J400">IFERROR(INDEX(Base_Estudiantes!$H$4:$H$505,MATCH(D400,Base_Estudiantes!$C$4:$C$505,0)),"")</f>
        <v/>
      </c>
      <c r="K400" s="5"/>
      <c r="L400" s="5"/>
      <c r="M400" s="5"/>
      <c r="N400" s="5"/>
      <c r="O400" s="5"/>
      <c r="P400" s="5"/>
      <c r="Q400" s="5"/>
      <c r="R400" s="20"/>
      <c r="S400" s="5"/>
      <c r="T400" s="5"/>
    </row>
    <row r="401" spans="1:20" ht="15.75" customHeight="1">
      <c r="A401" s="19" t="str">
        <f t="shared" si="0"/>
        <v/>
      </c>
      <c r="B401" s="6"/>
      <c r="C401" s="20"/>
      <c r="D401" s="5"/>
      <c r="E401" s="7" t="str">
        <f t="array" ref="E401">IFERROR(INDEX(Base_Estudiantes!$A$4:$A$505,MATCH(D401,Base_Estudiantes!$C$4:$C$505,0)),"")</f>
        <v/>
      </c>
      <c r="F401" s="7" t="str">
        <f t="array" ref="F401">IFERROR(INDEX(Base_Estudiantes!$B$4:$B$505,MATCH(D401,Base_Estudiantes!$C$4:$C$505,0)),"")</f>
        <v/>
      </c>
      <c r="G401" s="7" t="str">
        <f t="array" ref="G401">IFERROR(INDEX(Base_Estudiantes!$D$4:$D$505,MATCH(D401,Base_Estudiantes!$C$4:$C$505,0)),"")</f>
        <v/>
      </c>
      <c r="H401" s="7" t="str">
        <f t="array" ref="H401">IFERROR(INDEX(Base_Estudiantes!$F$4:$F$505,MATCH(D401,Base_Estudiantes!$C$4:$C$505,0)),"")</f>
        <v/>
      </c>
      <c r="I401" s="7" t="str">
        <f t="array" ref="I401">IFERROR(INDEX(Base_Estudiantes!$G$4:$G$505,MATCH(D401,Base_Estudiantes!$C$4:$C$505,0)),"")</f>
        <v/>
      </c>
      <c r="J401" s="7" t="str">
        <f t="array" ref="J401">IFERROR(INDEX(Base_Estudiantes!$H$4:$H$505,MATCH(D401,Base_Estudiantes!$C$4:$C$505,0)),"")</f>
        <v/>
      </c>
      <c r="K401" s="5"/>
      <c r="L401" s="5"/>
      <c r="M401" s="5"/>
      <c r="N401" s="5"/>
      <c r="O401" s="5"/>
      <c r="P401" s="5"/>
      <c r="Q401" s="5"/>
      <c r="R401" s="20"/>
      <c r="S401" s="5"/>
      <c r="T401" s="5"/>
    </row>
    <row r="402" spans="1:20" ht="15.75" customHeight="1">
      <c r="A402" s="19" t="str">
        <f t="shared" si="0"/>
        <v/>
      </c>
      <c r="B402" s="6"/>
      <c r="C402" s="20"/>
      <c r="D402" s="5"/>
      <c r="E402" s="7" t="str">
        <f t="array" ref="E402">IFERROR(INDEX(Base_Estudiantes!$A$4:$A$505,MATCH(D402,Base_Estudiantes!$C$4:$C$505,0)),"")</f>
        <v/>
      </c>
      <c r="F402" s="7" t="str">
        <f t="array" ref="F402">IFERROR(INDEX(Base_Estudiantes!$B$4:$B$505,MATCH(D402,Base_Estudiantes!$C$4:$C$505,0)),"")</f>
        <v/>
      </c>
      <c r="G402" s="7" t="str">
        <f t="array" ref="G402">IFERROR(INDEX(Base_Estudiantes!$D$4:$D$505,MATCH(D402,Base_Estudiantes!$C$4:$C$505,0)),"")</f>
        <v/>
      </c>
      <c r="H402" s="7" t="str">
        <f t="array" ref="H402">IFERROR(INDEX(Base_Estudiantes!$F$4:$F$505,MATCH(D402,Base_Estudiantes!$C$4:$C$505,0)),"")</f>
        <v/>
      </c>
      <c r="I402" s="7" t="str">
        <f t="array" ref="I402">IFERROR(INDEX(Base_Estudiantes!$G$4:$G$505,MATCH(D402,Base_Estudiantes!$C$4:$C$505,0)),"")</f>
        <v/>
      </c>
      <c r="J402" s="7" t="str">
        <f t="array" ref="J402">IFERROR(INDEX(Base_Estudiantes!$H$4:$H$505,MATCH(D402,Base_Estudiantes!$C$4:$C$505,0)),"")</f>
        <v/>
      </c>
      <c r="K402" s="5"/>
      <c r="L402" s="5"/>
      <c r="M402" s="5"/>
      <c r="N402" s="5"/>
      <c r="O402" s="5"/>
      <c r="P402" s="5"/>
      <c r="Q402" s="5"/>
      <c r="R402" s="20"/>
      <c r="S402" s="5"/>
      <c r="T402" s="5"/>
    </row>
    <row r="403" spans="1:20" ht="15.75" customHeight="1">
      <c r="A403" s="19" t="str">
        <f t="shared" si="0"/>
        <v/>
      </c>
      <c r="B403" s="6"/>
      <c r="C403" s="20"/>
      <c r="D403" s="5"/>
      <c r="E403" s="7" t="str">
        <f t="array" ref="E403">IFERROR(INDEX(Base_Estudiantes!$A$4:$A$505,MATCH(D403,Base_Estudiantes!$C$4:$C$505,0)),"")</f>
        <v/>
      </c>
      <c r="F403" s="7" t="str">
        <f t="array" ref="F403">IFERROR(INDEX(Base_Estudiantes!$B$4:$B$505,MATCH(D403,Base_Estudiantes!$C$4:$C$505,0)),"")</f>
        <v/>
      </c>
      <c r="G403" s="7" t="str">
        <f t="array" ref="G403">IFERROR(INDEX(Base_Estudiantes!$D$4:$D$505,MATCH(D403,Base_Estudiantes!$C$4:$C$505,0)),"")</f>
        <v/>
      </c>
      <c r="H403" s="7" t="str">
        <f t="array" ref="H403">IFERROR(INDEX(Base_Estudiantes!$F$4:$F$505,MATCH(D403,Base_Estudiantes!$C$4:$C$505,0)),"")</f>
        <v/>
      </c>
      <c r="I403" s="7" t="str">
        <f t="array" ref="I403">IFERROR(INDEX(Base_Estudiantes!$G$4:$G$505,MATCH(D403,Base_Estudiantes!$C$4:$C$505,0)),"")</f>
        <v/>
      </c>
      <c r="J403" s="7" t="str">
        <f t="array" ref="J403">IFERROR(INDEX(Base_Estudiantes!$H$4:$H$505,MATCH(D403,Base_Estudiantes!$C$4:$C$505,0)),"")</f>
        <v/>
      </c>
      <c r="K403" s="5"/>
      <c r="L403" s="5"/>
      <c r="M403" s="5"/>
      <c r="N403" s="5"/>
      <c r="O403" s="5"/>
      <c r="P403" s="5"/>
      <c r="Q403" s="5"/>
      <c r="R403" s="20"/>
      <c r="S403" s="5"/>
      <c r="T403" s="5"/>
    </row>
    <row r="404" spans="1:20" ht="15.75" customHeight="1">
      <c r="A404" s="19" t="str">
        <f t="shared" si="0"/>
        <v/>
      </c>
      <c r="B404" s="6"/>
      <c r="C404" s="20"/>
      <c r="D404" s="5"/>
      <c r="E404" s="7" t="str">
        <f t="array" ref="E404">IFERROR(INDEX(Base_Estudiantes!$A$4:$A$505,MATCH(D404,Base_Estudiantes!$C$4:$C$505,0)),"")</f>
        <v/>
      </c>
      <c r="F404" s="7" t="str">
        <f t="array" ref="F404">IFERROR(INDEX(Base_Estudiantes!$B$4:$B$505,MATCH(D404,Base_Estudiantes!$C$4:$C$505,0)),"")</f>
        <v/>
      </c>
      <c r="G404" s="7" t="str">
        <f t="array" ref="G404">IFERROR(INDEX(Base_Estudiantes!$D$4:$D$505,MATCH(D404,Base_Estudiantes!$C$4:$C$505,0)),"")</f>
        <v/>
      </c>
      <c r="H404" s="7" t="str">
        <f t="array" ref="H404">IFERROR(INDEX(Base_Estudiantes!$F$4:$F$505,MATCH(D404,Base_Estudiantes!$C$4:$C$505,0)),"")</f>
        <v/>
      </c>
      <c r="I404" s="7" t="str">
        <f t="array" ref="I404">IFERROR(INDEX(Base_Estudiantes!$G$4:$G$505,MATCH(D404,Base_Estudiantes!$C$4:$C$505,0)),"")</f>
        <v/>
      </c>
      <c r="J404" s="7" t="str">
        <f t="array" ref="J404">IFERROR(INDEX(Base_Estudiantes!$H$4:$H$505,MATCH(D404,Base_Estudiantes!$C$4:$C$505,0)),"")</f>
        <v/>
      </c>
      <c r="K404" s="5"/>
      <c r="L404" s="5"/>
      <c r="M404" s="5"/>
      <c r="N404" s="5"/>
      <c r="O404" s="5"/>
      <c r="P404" s="5"/>
      <c r="Q404" s="5"/>
      <c r="R404" s="20"/>
      <c r="S404" s="5"/>
      <c r="T404" s="5"/>
    </row>
    <row r="405" spans="1:20" ht="15.75" customHeight="1">
      <c r="A405" s="19" t="str">
        <f t="shared" si="0"/>
        <v/>
      </c>
      <c r="B405" s="6"/>
      <c r="C405" s="20"/>
      <c r="D405" s="5"/>
      <c r="E405" s="7" t="str">
        <f t="array" ref="E405">IFERROR(INDEX(Base_Estudiantes!$A$4:$A$505,MATCH(D405,Base_Estudiantes!$C$4:$C$505,0)),"")</f>
        <v/>
      </c>
      <c r="F405" s="7" t="str">
        <f t="array" ref="F405">IFERROR(INDEX(Base_Estudiantes!$B$4:$B$505,MATCH(D405,Base_Estudiantes!$C$4:$C$505,0)),"")</f>
        <v/>
      </c>
      <c r="G405" s="7" t="str">
        <f t="array" ref="G405">IFERROR(INDEX(Base_Estudiantes!$D$4:$D$505,MATCH(D405,Base_Estudiantes!$C$4:$C$505,0)),"")</f>
        <v/>
      </c>
      <c r="H405" s="7" t="str">
        <f t="array" ref="H405">IFERROR(INDEX(Base_Estudiantes!$F$4:$F$505,MATCH(D405,Base_Estudiantes!$C$4:$C$505,0)),"")</f>
        <v/>
      </c>
      <c r="I405" s="7" t="str">
        <f t="array" ref="I405">IFERROR(INDEX(Base_Estudiantes!$G$4:$G$505,MATCH(D405,Base_Estudiantes!$C$4:$C$505,0)),"")</f>
        <v/>
      </c>
      <c r="J405" s="7" t="str">
        <f t="array" ref="J405">IFERROR(INDEX(Base_Estudiantes!$H$4:$H$505,MATCH(D405,Base_Estudiantes!$C$4:$C$505,0)),"")</f>
        <v/>
      </c>
      <c r="K405" s="5"/>
      <c r="L405" s="5"/>
      <c r="M405" s="5"/>
      <c r="N405" s="5"/>
      <c r="O405" s="5"/>
      <c r="P405" s="5"/>
      <c r="Q405" s="5"/>
      <c r="R405" s="20"/>
      <c r="S405" s="5"/>
      <c r="T405" s="5"/>
    </row>
    <row r="406" spans="1:20" ht="15.75" customHeight="1">
      <c r="A406" s="19" t="str">
        <f t="shared" si="0"/>
        <v/>
      </c>
      <c r="B406" s="6"/>
      <c r="C406" s="20"/>
      <c r="D406" s="5"/>
      <c r="E406" s="7" t="str">
        <f t="array" ref="E406">IFERROR(INDEX(Base_Estudiantes!$A$4:$A$505,MATCH(D406,Base_Estudiantes!$C$4:$C$505,0)),"")</f>
        <v/>
      </c>
      <c r="F406" s="7" t="str">
        <f t="array" ref="F406">IFERROR(INDEX(Base_Estudiantes!$B$4:$B$505,MATCH(D406,Base_Estudiantes!$C$4:$C$505,0)),"")</f>
        <v/>
      </c>
      <c r="G406" s="7" t="str">
        <f t="array" ref="G406">IFERROR(INDEX(Base_Estudiantes!$D$4:$D$505,MATCH(D406,Base_Estudiantes!$C$4:$C$505,0)),"")</f>
        <v/>
      </c>
      <c r="H406" s="7" t="str">
        <f t="array" ref="H406">IFERROR(INDEX(Base_Estudiantes!$F$4:$F$505,MATCH(D406,Base_Estudiantes!$C$4:$C$505,0)),"")</f>
        <v/>
      </c>
      <c r="I406" s="7" t="str">
        <f t="array" ref="I406">IFERROR(INDEX(Base_Estudiantes!$G$4:$G$505,MATCH(D406,Base_Estudiantes!$C$4:$C$505,0)),"")</f>
        <v/>
      </c>
      <c r="J406" s="7" t="str">
        <f t="array" ref="J406">IFERROR(INDEX(Base_Estudiantes!$H$4:$H$505,MATCH(D406,Base_Estudiantes!$C$4:$C$505,0)),"")</f>
        <v/>
      </c>
      <c r="K406" s="5"/>
      <c r="L406" s="5"/>
      <c r="M406" s="5"/>
      <c r="N406" s="5"/>
      <c r="O406" s="5"/>
      <c r="P406" s="5"/>
      <c r="Q406" s="5"/>
      <c r="R406" s="20"/>
      <c r="S406" s="5"/>
      <c r="T406" s="5"/>
    </row>
    <row r="407" spans="1:20" ht="15.75" customHeight="1">
      <c r="A407" s="19" t="str">
        <f t="shared" si="0"/>
        <v/>
      </c>
      <c r="B407" s="6"/>
      <c r="C407" s="20"/>
      <c r="D407" s="5"/>
      <c r="E407" s="7" t="str">
        <f t="array" ref="E407">IFERROR(INDEX(Base_Estudiantes!$A$4:$A$505,MATCH(D407,Base_Estudiantes!$C$4:$C$505,0)),"")</f>
        <v/>
      </c>
      <c r="F407" s="7" t="str">
        <f t="array" ref="F407">IFERROR(INDEX(Base_Estudiantes!$B$4:$B$505,MATCH(D407,Base_Estudiantes!$C$4:$C$505,0)),"")</f>
        <v/>
      </c>
      <c r="G407" s="7" t="str">
        <f t="array" ref="G407">IFERROR(INDEX(Base_Estudiantes!$D$4:$D$505,MATCH(D407,Base_Estudiantes!$C$4:$C$505,0)),"")</f>
        <v/>
      </c>
      <c r="H407" s="7" t="str">
        <f t="array" ref="H407">IFERROR(INDEX(Base_Estudiantes!$F$4:$F$505,MATCH(D407,Base_Estudiantes!$C$4:$C$505,0)),"")</f>
        <v/>
      </c>
      <c r="I407" s="7" t="str">
        <f t="array" ref="I407">IFERROR(INDEX(Base_Estudiantes!$G$4:$G$505,MATCH(D407,Base_Estudiantes!$C$4:$C$505,0)),"")</f>
        <v/>
      </c>
      <c r="J407" s="7" t="str">
        <f t="array" ref="J407">IFERROR(INDEX(Base_Estudiantes!$H$4:$H$505,MATCH(D407,Base_Estudiantes!$C$4:$C$505,0)),"")</f>
        <v/>
      </c>
      <c r="K407" s="5"/>
      <c r="L407" s="5"/>
      <c r="M407" s="5"/>
      <c r="N407" s="5"/>
      <c r="O407" s="5"/>
      <c r="P407" s="5"/>
      <c r="Q407" s="5"/>
      <c r="R407" s="20"/>
      <c r="S407" s="5"/>
      <c r="T407" s="5"/>
    </row>
    <row r="408" spans="1:20" ht="15.75" customHeight="1">
      <c r="A408" s="19" t="str">
        <f t="shared" si="0"/>
        <v/>
      </c>
      <c r="B408" s="6"/>
      <c r="C408" s="20"/>
      <c r="D408" s="5"/>
      <c r="E408" s="7" t="str">
        <f t="array" ref="E408">IFERROR(INDEX(Base_Estudiantes!$A$4:$A$505,MATCH(D408,Base_Estudiantes!$C$4:$C$505,0)),"")</f>
        <v/>
      </c>
      <c r="F408" s="7" t="str">
        <f t="array" ref="F408">IFERROR(INDEX(Base_Estudiantes!$B$4:$B$505,MATCH(D408,Base_Estudiantes!$C$4:$C$505,0)),"")</f>
        <v/>
      </c>
      <c r="G408" s="7" t="str">
        <f t="array" ref="G408">IFERROR(INDEX(Base_Estudiantes!$D$4:$D$505,MATCH(D408,Base_Estudiantes!$C$4:$C$505,0)),"")</f>
        <v/>
      </c>
      <c r="H408" s="7" t="str">
        <f t="array" ref="H408">IFERROR(INDEX(Base_Estudiantes!$F$4:$F$505,MATCH(D408,Base_Estudiantes!$C$4:$C$505,0)),"")</f>
        <v/>
      </c>
      <c r="I408" s="7" t="str">
        <f t="array" ref="I408">IFERROR(INDEX(Base_Estudiantes!$G$4:$G$505,MATCH(D408,Base_Estudiantes!$C$4:$C$505,0)),"")</f>
        <v/>
      </c>
      <c r="J408" s="7" t="str">
        <f t="array" ref="J408">IFERROR(INDEX(Base_Estudiantes!$H$4:$H$505,MATCH(D408,Base_Estudiantes!$C$4:$C$505,0)),"")</f>
        <v/>
      </c>
      <c r="K408" s="5"/>
      <c r="L408" s="5"/>
      <c r="M408" s="5"/>
      <c r="N408" s="5"/>
      <c r="O408" s="5"/>
      <c r="P408" s="5"/>
      <c r="Q408" s="5"/>
      <c r="R408" s="20"/>
      <c r="S408" s="5"/>
      <c r="T408" s="5"/>
    </row>
    <row r="409" spans="1:20" ht="15.75" customHeight="1">
      <c r="A409" s="19" t="str">
        <f t="shared" si="0"/>
        <v/>
      </c>
      <c r="B409" s="6"/>
      <c r="C409" s="20"/>
      <c r="D409" s="5"/>
      <c r="E409" s="7" t="str">
        <f t="array" ref="E409">IFERROR(INDEX(Base_Estudiantes!$A$4:$A$505,MATCH(D409,Base_Estudiantes!$C$4:$C$505,0)),"")</f>
        <v/>
      </c>
      <c r="F409" s="7" t="str">
        <f t="array" ref="F409">IFERROR(INDEX(Base_Estudiantes!$B$4:$B$505,MATCH(D409,Base_Estudiantes!$C$4:$C$505,0)),"")</f>
        <v/>
      </c>
      <c r="G409" s="7" t="str">
        <f t="array" ref="G409">IFERROR(INDEX(Base_Estudiantes!$D$4:$D$505,MATCH(D409,Base_Estudiantes!$C$4:$C$505,0)),"")</f>
        <v/>
      </c>
      <c r="H409" s="7" t="str">
        <f t="array" ref="H409">IFERROR(INDEX(Base_Estudiantes!$F$4:$F$505,MATCH(D409,Base_Estudiantes!$C$4:$C$505,0)),"")</f>
        <v/>
      </c>
      <c r="I409" s="7" t="str">
        <f t="array" ref="I409">IFERROR(INDEX(Base_Estudiantes!$G$4:$G$505,MATCH(D409,Base_Estudiantes!$C$4:$C$505,0)),"")</f>
        <v/>
      </c>
      <c r="J409" s="7" t="str">
        <f t="array" ref="J409">IFERROR(INDEX(Base_Estudiantes!$H$4:$H$505,MATCH(D409,Base_Estudiantes!$C$4:$C$505,0)),"")</f>
        <v/>
      </c>
      <c r="K409" s="5"/>
      <c r="L409" s="5"/>
      <c r="M409" s="5"/>
      <c r="N409" s="5"/>
      <c r="O409" s="5"/>
      <c r="P409" s="5"/>
      <c r="Q409" s="5"/>
      <c r="R409" s="20"/>
      <c r="S409" s="5"/>
      <c r="T409" s="5"/>
    </row>
    <row r="410" spans="1:20" ht="15.75" customHeight="1">
      <c r="A410" s="19" t="str">
        <f t="shared" si="0"/>
        <v/>
      </c>
      <c r="B410" s="6"/>
      <c r="C410" s="20"/>
      <c r="D410" s="5"/>
      <c r="E410" s="7" t="str">
        <f t="array" ref="E410">IFERROR(INDEX(Base_Estudiantes!$A$4:$A$505,MATCH(D410,Base_Estudiantes!$C$4:$C$505,0)),"")</f>
        <v/>
      </c>
      <c r="F410" s="7" t="str">
        <f t="array" ref="F410">IFERROR(INDEX(Base_Estudiantes!$B$4:$B$505,MATCH(D410,Base_Estudiantes!$C$4:$C$505,0)),"")</f>
        <v/>
      </c>
      <c r="G410" s="7" t="str">
        <f t="array" ref="G410">IFERROR(INDEX(Base_Estudiantes!$D$4:$D$505,MATCH(D410,Base_Estudiantes!$C$4:$C$505,0)),"")</f>
        <v/>
      </c>
      <c r="H410" s="7" t="str">
        <f t="array" ref="H410">IFERROR(INDEX(Base_Estudiantes!$F$4:$F$505,MATCH(D410,Base_Estudiantes!$C$4:$C$505,0)),"")</f>
        <v/>
      </c>
      <c r="I410" s="7" t="str">
        <f t="array" ref="I410">IFERROR(INDEX(Base_Estudiantes!$G$4:$G$505,MATCH(D410,Base_Estudiantes!$C$4:$C$505,0)),"")</f>
        <v/>
      </c>
      <c r="J410" s="7" t="str">
        <f t="array" ref="J410">IFERROR(INDEX(Base_Estudiantes!$H$4:$H$505,MATCH(D410,Base_Estudiantes!$C$4:$C$505,0)),"")</f>
        <v/>
      </c>
      <c r="K410" s="5"/>
      <c r="L410" s="5"/>
      <c r="M410" s="5"/>
      <c r="N410" s="5"/>
      <c r="O410" s="5"/>
      <c r="P410" s="5"/>
      <c r="Q410" s="5"/>
      <c r="R410" s="20"/>
      <c r="S410" s="5"/>
      <c r="T410" s="5"/>
    </row>
    <row r="411" spans="1:20" ht="15.75" customHeight="1">
      <c r="A411" s="19" t="str">
        <f t="shared" si="0"/>
        <v/>
      </c>
      <c r="B411" s="6"/>
      <c r="C411" s="20"/>
      <c r="D411" s="5"/>
      <c r="E411" s="7" t="str">
        <f t="array" ref="E411">IFERROR(INDEX(Base_Estudiantes!$A$4:$A$505,MATCH(D411,Base_Estudiantes!$C$4:$C$505,0)),"")</f>
        <v/>
      </c>
      <c r="F411" s="7" t="str">
        <f t="array" ref="F411">IFERROR(INDEX(Base_Estudiantes!$B$4:$B$505,MATCH(D411,Base_Estudiantes!$C$4:$C$505,0)),"")</f>
        <v/>
      </c>
      <c r="G411" s="7" t="str">
        <f t="array" ref="G411">IFERROR(INDEX(Base_Estudiantes!$D$4:$D$505,MATCH(D411,Base_Estudiantes!$C$4:$C$505,0)),"")</f>
        <v/>
      </c>
      <c r="H411" s="7" t="str">
        <f t="array" ref="H411">IFERROR(INDEX(Base_Estudiantes!$F$4:$F$505,MATCH(D411,Base_Estudiantes!$C$4:$C$505,0)),"")</f>
        <v/>
      </c>
      <c r="I411" s="7" t="str">
        <f t="array" ref="I411">IFERROR(INDEX(Base_Estudiantes!$G$4:$G$505,MATCH(D411,Base_Estudiantes!$C$4:$C$505,0)),"")</f>
        <v/>
      </c>
      <c r="J411" s="7" t="str">
        <f t="array" ref="J411">IFERROR(INDEX(Base_Estudiantes!$H$4:$H$505,MATCH(D411,Base_Estudiantes!$C$4:$C$505,0)),"")</f>
        <v/>
      </c>
      <c r="K411" s="5"/>
      <c r="L411" s="5"/>
      <c r="M411" s="5"/>
      <c r="N411" s="5"/>
      <c r="O411" s="5"/>
      <c r="P411" s="5"/>
      <c r="Q411" s="5"/>
      <c r="R411" s="20"/>
      <c r="S411" s="5"/>
      <c r="T411" s="5"/>
    </row>
    <row r="412" spans="1:20" ht="15.75" customHeight="1">
      <c r="A412" s="19" t="str">
        <f t="shared" si="0"/>
        <v/>
      </c>
      <c r="B412" s="6"/>
      <c r="C412" s="20"/>
      <c r="D412" s="5"/>
      <c r="E412" s="7" t="str">
        <f t="array" ref="E412">IFERROR(INDEX(Base_Estudiantes!$A$4:$A$505,MATCH(D412,Base_Estudiantes!$C$4:$C$505,0)),"")</f>
        <v/>
      </c>
      <c r="F412" s="7" t="str">
        <f t="array" ref="F412">IFERROR(INDEX(Base_Estudiantes!$B$4:$B$505,MATCH(D412,Base_Estudiantes!$C$4:$C$505,0)),"")</f>
        <v/>
      </c>
      <c r="G412" s="7" t="str">
        <f t="array" ref="G412">IFERROR(INDEX(Base_Estudiantes!$D$4:$D$505,MATCH(D412,Base_Estudiantes!$C$4:$C$505,0)),"")</f>
        <v/>
      </c>
      <c r="H412" s="7" t="str">
        <f t="array" ref="H412">IFERROR(INDEX(Base_Estudiantes!$F$4:$F$505,MATCH(D412,Base_Estudiantes!$C$4:$C$505,0)),"")</f>
        <v/>
      </c>
      <c r="I412" s="7" t="str">
        <f t="array" ref="I412">IFERROR(INDEX(Base_Estudiantes!$G$4:$G$505,MATCH(D412,Base_Estudiantes!$C$4:$C$505,0)),"")</f>
        <v/>
      </c>
      <c r="J412" s="7" t="str">
        <f t="array" ref="J412">IFERROR(INDEX(Base_Estudiantes!$H$4:$H$505,MATCH(D412,Base_Estudiantes!$C$4:$C$505,0)),"")</f>
        <v/>
      </c>
      <c r="K412" s="5"/>
      <c r="L412" s="5"/>
      <c r="M412" s="5"/>
      <c r="N412" s="5"/>
      <c r="O412" s="5"/>
      <c r="P412" s="5"/>
      <c r="Q412" s="5"/>
      <c r="R412" s="20"/>
      <c r="S412" s="5"/>
      <c r="T412" s="5"/>
    </row>
    <row r="413" spans="1:20" ht="15.75" customHeight="1">
      <c r="A413" s="19" t="str">
        <f t="shared" si="0"/>
        <v/>
      </c>
      <c r="B413" s="6"/>
      <c r="C413" s="20"/>
      <c r="D413" s="5"/>
      <c r="E413" s="7" t="str">
        <f t="array" ref="E413">IFERROR(INDEX(Base_Estudiantes!$A$4:$A$505,MATCH(D413,Base_Estudiantes!$C$4:$C$505,0)),"")</f>
        <v/>
      </c>
      <c r="F413" s="7" t="str">
        <f t="array" ref="F413">IFERROR(INDEX(Base_Estudiantes!$B$4:$B$505,MATCH(D413,Base_Estudiantes!$C$4:$C$505,0)),"")</f>
        <v/>
      </c>
      <c r="G413" s="7" t="str">
        <f t="array" ref="G413">IFERROR(INDEX(Base_Estudiantes!$D$4:$D$505,MATCH(D413,Base_Estudiantes!$C$4:$C$505,0)),"")</f>
        <v/>
      </c>
      <c r="H413" s="7" t="str">
        <f t="array" ref="H413">IFERROR(INDEX(Base_Estudiantes!$F$4:$F$505,MATCH(D413,Base_Estudiantes!$C$4:$C$505,0)),"")</f>
        <v/>
      </c>
      <c r="I413" s="7" t="str">
        <f t="array" ref="I413">IFERROR(INDEX(Base_Estudiantes!$G$4:$G$505,MATCH(D413,Base_Estudiantes!$C$4:$C$505,0)),"")</f>
        <v/>
      </c>
      <c r="J413" s="7" t="str">
        <f t="array" ref="J413">IFERROR(INDEX(Base_Estudiantes!$H$4:$H$505,MATCH(D413,Base_Estudiantes!$C$4:$C$505,0)),"")</f>
        <v/>
      </c>
      <c r="K413" s="5"/>
      <c r="L413" s="5"/>
      <c r="M413" s="5"/>
      <c r="N413" s="5"/>
      <c r="O413" s="5"/>
      <c r="P413" s="5"/>
      <c r="Q413" s="5"/>
      <c r="R413" s="20"/>
      <c r="S413" s="5"/>
      <c r="T413" s="5"/>
    </row>
    <row r="414" spans="1:20" ht="15.75" customHeight="1">
      <c r="A414" s="19" t="str">
        <f t="shared" si="0"/>
        <v/>
      </c>
      <c r="B414" s="6"/>
      <c r="C414" s="20"/>
      <c r="D414" s="5"/>
      <c r="E414" s="7" t="str">
        <f t="array" ref="E414">IFERROR(INDEX(Base_Estudiantes!$A$4:$A$505,MATCH(D414,Base_Estudiantes!$C$4:$C$505,0)),"")</f>
        <v/>
      </c>
      <c r="F414" s="7" t="str">
        <f t="array" ref="F414">IFERROR(INDEX(Base_Estudiantes!$B$4:$B$505,MATCH(D414,Base_Estudiantes!$C$4:$C$505,0)),"")</f>
        <v/>
      </c>
      <c r="G414" s="7" t="str">
        <f t="array" ref="G414">IFERROR(INDEX(Base_Estudiantes!$D$4:$D$505,MATCH(D414,Base_Estudiantes!$C$4:$C$505,0)),"")</f>
        <v/>
      </c>
      <c r="H414" s="7" t="str">
        <f t="array" ref="H414">IFERROR(INDEX(Base_Estudiantes!$F$4:$F$505,MATCH(D414,Base_Estudiantes!$C$4:$C$505,0)),"")</f>
        <v/>
      </c>
      <c r="I414" s="7" t="str">
        <f t="array" ref="I414">IFERROR(INDEX(Base_Estudiantes!$G$4:$G$505,MATCH(D414,Base_Estudiantes!$C$4:$C$505,0)),"")</f>
        <v/>
      </c>
      <c r="J414" s="7" t="str">
        <f t="array" ref="J414">IFERROR(INDEX(Base_Estudiantes!$H$4:$H$505,MATCH(D414,Base_Estudiantes!$C$4:$C$505,0)),"")</f>
        <v/>
      </c>
      <c r="K414" s="5"/>
      <c r="L414" s="5"/>
      <c r="M414" s="5"/>
      <c r="N414" s="5"/>
      <c r="O414" s="5"/>
      <c r="P414" s="5"/>
      <c r="Q414" s="5"/>
      <c r="R414" s="20"/>
      <c r="S414" s="5"/>
      <c r="T414" s="5"/>
    </row>
    <row r="415" spans="1:20" ht="15.75" customHeight="1">
      <c r="A415" s="19" t="str">
        <f t="shared" si="0"/>
        <v/>
      </c>
      <c r="B415" s="6"/>
      <c r="C415" s="20"/>
      <c r="D415" s="5"/>
      <c r="E415" s="7" t="str">
        <f t="array" ref="E415">IFERROR(INDEX(Base_Estudiantes!$A$4:$A$505,MATCH(D415,Base_Estudiantes!$C$4:$C$505,0)),"")</f>
        <v/>
      </c>
      <c r="F415" s="7" t="str">
        <f t="array" ref="F415">IFERROR(INDEX(Base_Estudiantes!$B$4:$B$505,MATCH(D415,Base_Estudiantes!$C$4:$C$505,0)),"")</f>
        <v/>
      </c>
      <c r="G415" s="7" t="str">
        <f t="array" ref="G415">IFERROR(INDEX(Base_Estudiantes!$D$4:$D$505,MATCH(D415,Base_Estudiantes!$C$4:$C$505,0)),"")</f>
        <v/>
      </c>
      <c r="H415" s="7" t="str">
        <f t="array" ref="H415">IFERROR(INDEX(Base_Estudiantes!$F$4:$F$505,MATCH(D415,Base_Estudiantes!$C$4:$C$505,0)),"")</f>
        <v/>
      </c>
      <c r="I415" s="7" t="str">
        <f t="array" ref="I415">IFERROR(INDEX(Base_Estudiantes!$G$4:$G$505,MATCH(D415,Base_Estudiantes!$C$4:$C$505,0)),"")</f>
        <v/>
      </c>
      <c r="J415" s="7" t="str">
        <f t="array" ref="J415">IFERROR(INDEX(Base_Estudiantes!$H$4:$H$505,MATCH(D415,Base_Estudiantes!$C$4:$C$505,0)),"")</f>
        <v/>
      </c>
      <c r="K415" s="5"/>
      <c r="L415" s="5"/>
      <c r="M415" s="5"/>
      <c r="N415" s="5"/>
      <c r="O415" s="5"/>
      <c r="P415" s="5"/>
      <c r="Q415" s="5"/>
      <c r="R415" s="20"/>
      <c r="S415" s="5"/>
      <c r="T415" s="5"/>
    </row>
    <row r="416" spans="1:20" ht="15.75" customHeight="1">
      <c r="A416" s="19" t="str">
        <f t="shared" si="0"/>
        <v/>
      </c>
      <c r="B416" s="6"/>
      <c r="C416" s="20"/>
      <c r="D416" s="5"/>
      <c r="E416" s="7" t="str">
        <f t="array" ref="E416">IFERROR(INDEX(Base_Estudiantes!$A$4:$A$505,MATCH(D416,Base_Estudiantes!$C$4:$C$505,0)),"")</f>
        <v/>
      </c>
      <c r="F416" s="7" t="str">
        <f t="array" ref="F416">IFERROR(INDEX(Base_Estudiantes!$B$4:$B$505,MATCH(D416,Base_Estudiantes!$C$4:$C$505,0)),"")</f>
        <v/>
      </c>
      <c r="G416" s="7" t="str">
        <f t="array" ref="G416">IFERROR(INDEX(Base_Estudiantes!$D$4:$D$505,MATCH(D416,Base_Estudiantes!$C$4:$C$505,0)),"")</f>
        <v/>
      </c>
      <c r="H416" s="7" t="str">
        <f t="array" ref="H416">IFERROR(INDEX(Base_Estudiantes!$F$4:$F$505,MATCH(D416,Base_Estudiantes!$C$4:$C$505,0)),"")</f>
        <v/>
      </c>
      <c r="I416" s="7" t="str">
        <f t="array" ref="I416">IFERROR(INDEX(Base_Estudiantes!$G$4:$G$505,MATCH(D416,Base_Estudiantes!$C$4:$C$505,0)),"")</f>
        <v/>
      </c>
      <c r="J416" s="7" t="str">
        <f t="array" ref="J416">IFERROR(INDEX(Base_Estudiantes!$H$4:$H$505,MATCH(D416,Base_Estudiantes!$C$4:$C$505,0)),"")</f>
        <v/>
      </c>
      <c r="K416" s="5"/>
      <c r="L416" s="5"/>
      <c r="M416" s="5"/>
      <c r="N416" s="5"/>
      <c r="O416" s="5"/>
      <c r="P416" s="5"/>
      <c r="Q416" s="5"/>
      <c r="R416" s="20"/>
      <c r="S416" s="5"/>
      <c r="T416" s="5"/>
    </row>
    <row r="417" spans="1:20" ht="15.75" customHeight="1">
      <c r="A417" s="19" t="str">
        <f t="shared" si="0"/>
        <v/>
      </c>
      <c r="B417" s="6"/>
      <c r="C417" s="20"/>
      <c r="D417" s="5"/>
      <c r="E417" s="7" t="str">
        <f t="array" ref="E417">IFERROR(INDEX(Base_Estudiantes!$A$4:$A$505,MATCH(D417,Base_Estudiantes!$C$4:$C$505,0)),"")</f>
        <v/>
      </c>
      <c r="F417" s="7" t="str">
        <f t="array" ref="F417">IFERROR(INDEX(Base_Estudiantes!$B$4:$B$505,MATCH(D417,Base_Estudiantes!$C$4:$C$505,0)),"")</f>
        <v/>
      </c>
      <c r="G417" s="7" t="str">
        <f t="array" ref="G417">IFERROR(INDEX(Base_Estudiantes!$D$4:$D$505,MATCH(D417,Base_Estudiantes!$C$4:$C$505,0)),"")</f>
        <v/>
      </c>
      <c r="H417" s="7" t="str">
        <f t="array" ref="H417">IFERROR(INDEX(Base_Estudiantes!$F$4:$F$505,MATCH(D417,Base_Estudiantes!$C$4:$C$505,0)),"")</f>
        <v/>
      </c>
      <c r="I417" s="7" t="str">
        <f t="array" ref="I417">IFERROR(INDEX(Base_Estudiantes!$G$4:$G$505,MATCH(D417,Base_Estudiantes!$C$4:$C$505,0)),"")</f>
        <v/>
      </c>
      <c r="J417" s="7" t="str">
        <f t="array" ref="J417">IFERROR(INDEX(Base_Estudiantes!$H$4:$H$505,MATCH(D417,Base_Estudiantes!$C$4:$C$505,0)),"")</f>
        <v/>
      </c>
      <c r="K417" s="5"/>
      <c r="L417" s="5"/>
      <c r="M417" s="5"/>
      <c r="N417" s="5"/>
      <c r="O417" s="5"/>
      <c r="P417" s="5"/>
      <c r="Q417" s="5"/>
      <c r="R417" s="20"/>
      <c r="S417" s="5"/>
      <c r="T417" s="5"/>
    </row>
    <row r="418" spans="1:20" ht="15.75" customHeight="1">
      <c r="A418" s="19" t="str">
        <f t="shared" si="0"/>
        <v/>
      </c>
      <c r="B418" s="6"/>
      <c r="C418" s="20"/>
      <c r="D418" s="5"/>
      <c r="E418" s="7" t="str">
        <f t="array" ref="E418">IFERROR(INDEX(Base_Estudiantes!$A$4:$A$505,MATCH(D418,Base_Estudiantes!$C$4:$C$505,0)),"")</f>
        <v/>
      </c>
      <c r="F418" s="7" t="str">
        <f t="array" ref="F418">IFERROR(INDEX(Base_Estudiantes!$B$4:$B$505,MATCH(D418,Base_Estudiantes!$C$4:$C$505,0)),"")</f>
        <v/>
      </c>
      <c r="G418" s="7" t="str">
        <f t="array" ref="G418">IFERROR(INDEX(Base_Estudiantes!$D$4:$D$505,MATCH(D418,Base_Estudiantes!$C$4:$C$505,0)),"")</f>
        <v/>
      </c>
      <c r="H418" s="7" t="str">
        <f t="array" ref="H418">IFERROR(INDEX(Base_Estudiantes!$F$4:$F$505,MATCH(D418,Base_Estudiantes!$C$4:$C$505,0)),"")</f>
        <v/>
      </c>
      <c r="I418" s="7" t="str">
        <f t="array" ref="I418">IFERROR(INDEX(Base_Estudiantes!$G$4:$G$505,MATCH(D418,Base_Estudiantes!$C$4:$C$505,0)),"")</f>
        <v/>
      </c>
      <c r="J418" s="7" t="str">
        <f t="array" ref="J418">IFERROR(INDEX(Base_Estudiantes!$H$4:$H$505,MATCH(D418,Base_Estudiantes!$C$4:$C$505,0)),"")</f>
        <v/>
      </c>
      <c r="K418" s="5"/>
      <c r="L418" s="5"/>
      <c r="M418" s="5"/>
      <c r="N418" s="5"/>
      <c r="O418" s="5"/>
      <c r="P418" s="5"/>
      <c r="Q418" s="5"/>
      <c r="R418" s="20"/>
      <c r="S418" s="5"/>
      <c r="T418" s="5"/>
    </row>
    <row r="419" spans="1:20" ht="15.75" customHeight="1">
      <c r="A419" s="19" t="str">
        <f t="shared" si="0"/>
        <v/>
      </c>
      <c r="B419" s="6"/>
      <c r="C419" s="20"/>
      <c r="D419" s="5"/>
      <c r="E419" s="7" t="str">
        <f t="array" ref="E419">IFERROR(INDEX(Base_Estudiantes!$A$4:$A$505,MATCH(D419,Base_Estudiantes!$C$4:$C$505,0)),"")</f>
        <v/>
      </c>
      <c r="F419" s="7" t="str">
        <f t="array" ref="F419">IFERROR(INDEX(Base_Estudiantes!$B$4:$B$505,MATCH(D419,Base_Estudiantes!$C$4:$C$505,0)),"")</f>
        <v/>
      </c>
      <c r="G419" s="7" t="str">
        <f t="array" ref="G419">IFERROR(INDEX(Base_Estudiantes!$D$4:$D$505,MATCH(D419,Base_Estudiantes!$C$4:$C$505,0)),"")</f>
        <v/>
      </c>
      <c r="H419" s="7" t="str">
        <f t="array" ref="H419">IFERROR(INDEX(Base_Estudiantes!$F$4:$F$505,MATCH(D419,Base_Estudiantes!$C$4:$C$505,0)),"")</f>
        <v/>
      </c>
      <c r="I419" s="7" t="str">
        <f t="array" ref="I419">IFERROR(INDEX(Base_Estudiantes!$G$4:$G$505,MATCH(D419,Base_Estudiantes!$C$4:$C$505,0)),"")</f>
        <v/>
      </c>
      <c r="J419" s="7" t="str">
        <f t="array" ref="J419">IFERROR(INDEX(Base_Estudiantes!$H$4:$H$505,MATCH(D419,Base_Estudiantes!$C$4:$C$505,0)),"")</f>
        <v/>
      </c>
      <c r="K419" s="5"/>
      <c r="L419" s="5"/>
      <c r="M419" s="5"/>
      <c r="N419" s="5"/>
      <c r="O419" s="5"/>
      <c r="P419" s="5"/>
      <c r="Q419" s="5"/>
      <c r="R419" s="20"/>
      <c r="S419" s="5"/>
      <c r="T419" s="5"/>
    </row>
    <row r="420" spans="1:20" ht="15.75" customHeight="1">
      <c r="A420" s="19" t="str">
        <f t="shared" si="0"/>
        <v/>
      </c>
      <c r="B420" s="6"/>
      <c r="C420" s="20"/>
      <c r="D420" s="5"/>
      <c r="E420" s="7" t="str">
        <f t="array" ref="E420">IFERROR(INDEX(Base_Estudiantes!$A$4:$A$505,MATCH(D420,Base_Estudiantes!$C$4:$C$505,0)),"")</f>
        <v/>
      </c>
      <c r="F420" s="7" t="str">
        <f t="array" ref="F420">IFERROR(INDEX(Base_Estudiantes!$B$4:$B$505,MATCH(D420,Base_Estudiantes!$C$4:$C$505,0)),"")</f>
        <v/>
      </c>
      <c r="G420" s="7" t="str">
        <f t="array" ref="G420">IFERROR(INDEX(Base_Estudiantes!$D$4:$D$505,MATCH(D420,Base_Estudiantes!$C$4:$C$505,0)),"")</f>
        <v/>
      </c>
      <c r="H420" s="7" t="str">
        <f t="array" ref="H420">IFERROR(INDEX(Base_Estudiantes!$F$4:$F$505,MATCH(D420,Base_Estudiantes!$C$4:$C$505,0)),"")</f>
        <v/>
      </c>
      <c r="I420" s="7" t="str">
        <f t="array" ref="I420">IFERROR(INDEX(Base_Estudiantes!$G$4:$G$505,MATCH(D420,Base_Estudiantes!$C$4:$C$505,0)),"")</f>
        <v/>
      </c>
      <c r="J420" s="7" t="str">
        <f t="array" ref="J420">IFERROR(INDEX(Base_Estudiantes!$H$4:$H$505,MATCH(D420,Base_Estudiantes!$C$4:$C$505,0)),"")</f>
        <v/>
      </c>
      <c r="K420" s="5"/>
      <c r="L420" s="5"/>
      <c r="M420" s="5"/>
      <c r="N420" s="5"/>
      <c r="O420" s="5"/>
      <c r="P420" s="5"/>
      <c r="Q420" s="5"/>
      <c r="R420" s="20"/>
      <c r="S420" s="5"/>
      <c r="T420" s="5"/>
    </row>
    <row r="421" spans="1:20" ht="15.75" customHeight="1">
      <c r="A421" s="19" t="str">
        <f t="shared" si="0"/>
        <v/>
      </c>
      <c r="B421" s="6"/>
      <c r="C421" s="20"/>
      <c r="D421" s="5"/>
      <c r="E421" s="7" t="str">
        <f t="array" ref="E421">IFERROR(INDEX(Base_Estudiantes!$A$4:$A$505,MATCH(D421,Base_Estudiantes!$C$4:$C$505,0)),"")</f>
        <v/>
      </c>
      <c r="F421" s="7" t="str">
        <f t="array" ref="F421">IFERROR(INDEX(Base_Estudiantes!$B$4:$B$505,MATCH(D421,Base_Estudiantes!$C$4:$C$505,0)),"")</f>
        <v/>
      </c>
      <c r="G421" s="7" t="str">
        <f t="array" ref="G421">IFERROR(INDEX(Base_Estudiantes!$D$4:$D$505,MATCH(D421,Base_Estudiantes!$C$4:$C$505,0)),"")</f>
        <v/>
      </c>
      <c r="H421" s="7" t="str">
        <f t="array" ref="H421">IFERROR(INDEX(Base_Estudiantes!$F$4:$F$505,MATCH(D421,Base_Estudiantes!$C$4:$C$505,0)),"")</f>
        <v/>
      </c>
      <c r="I421" s="7" t="str">
        <f t="array" ref="I421">IFERROR(INDEX(Base_Estudiantes!$G$4:$G$505,MATCH(D421,Base_Estudiantes!$C$4:$C$505,0)),"")</f>
        <v/>
      </c>
      <c r="J421" s="7" t="str">
        <f t="array" ref="J421">IFERROR(INDEX(Base_Estudiantes!$H$4:$H$505,MATCH(D421,Base_Estudiantes!$C$4:$C$505,0)),"")</f>
        <v/>
      </c>
      <c r="K421" s="5"/>
      <c r="L421" s="5"/>
      <c r="M421" s="5"/>
      <c r="N421" s="5"/>
      <c r="O421" s="5"/>
      <c r="P421" s="5"/>
      <c r="Q421" s="5"/>
      <c r="R421" s="20"/>
      <c r="S421" s="5"/>
      <c r="T421" s="5"/>
    </row>
    <row r="422" spans="1:20" ht="15.75" customHeight="1">
      <c r="A422" s="19" t="str">
        <f t="shared" si="0"/>
        <v/>
      </c>
      <c r="B422" s="6"/>
      <c r="C422" s="20"/>
      <c r="D422" s="5"/>
      <c r="E422" s="7" t="str">
        <f t="array" ref="E422">IFERROR(INDEX(Base_Estudiantes!$A$4:$A$505,MATCH(D422,Base_Estudiantes!$C$4:$C$505,0)),"")</f>
        <v/>
      </c>
      <c r="F422" s="7" t="str">
        <f t="array" ref="F422">IFERROR(INDEX(Base_Estudiantes!$B$4:$B$505,MATCH(D422,Base_Estudiantes!$C$4:$C$505,0)),"")</f>
        <v/>
      </c>
      <c r="G422" s="7" t="str">
        <f t="array" ref="G422">IFERROR(INDEX(Base_Estudiantes!$D$4:$D$505,MATCH(D422,Base_Estudiantes!$C$4:$C$505,0)),"")</f>
        <v/>
      </c>
      <c r="H422" s="7" t="str">
        <f t="array" ref="H422">IFERROR(INDEX(Base_Estudiantes!$F$4:$F$505,MATCH(D422,Base_Estudiantes!$C$4:$C$505,0)),"")</f>
        <v/>
      </c>
      <c r="I422" s="7" t="str">
        <f t="array" ref="I422">IFERROR(INDEX(Base_Estudiantes!$G$4:$G$505,MATCH(D422,Base_Estudiantes!$C$4:$C$505,0)),"")</f>
        <v/>
      </c>
      <c r="J422" s="7" t="str">
        <f t="array" ref="J422">IFERROR(INDEX(Base_Estudiantes!$H$4:$H$505,MATCH(D422,Base_Estudiantes!$C$4:$C$505,0)),"")</f>
        <v/>
      </c>
      <c r="K422" s="5"/>
      <c r="L422" s="5"/>
      <c r="M422" s="5"/>
      <c r="N422" s="5"/>
      <c r="O422" s="5"/>
      <c r="P422" s="5"/>
      <c r="Q422" s="5"/>
      <c r="R422" s="20"/>
      <c r="S422" s="5"/>
      <c r="T422" s="5"/>
    </row>
    <row r="423" spans="1:20" ht="15.75" customHeight="1">
      <c r="A423" s="19" t="str">
        <f t="shared" si="0"/>
        <v/>
      </c>
      <c r="B423" s="6"/>
      <c r="C423" s="20"/>
      <c r="D423" s="5"/>
      <c r="E423" s="7" t="str">
        <f t="array" ref="E423">IFERROR(INDEX(Base_Estudiantes!$A$4:$A$505,MATCH(D423,Base_Estudiantes!$C$4:$C$505,0)),"")</f>
        <v/>
      </c>
      <c r="F423" s="7" t="str">
        <f t="array" ref="F423">IFERROR(INDEX(Base_Estudiantes!$B$4:$B$505,MATCH(D423,Base_Estudiantes!$C$4:$C$505,0)),"")</f>
        <v/>
      </c>
      <c r="G423" s="7" t="str">
        <f t="array" ref="G423">IFERROR(INDEX(Base_Estudiantes!$D$4:$D$505,MATCH(D423,Base_Estudiantes!$C$4:$C$505,0)),"")</f>
        <v/>
      </c>
      <c r="H423" s="7" t="str">
        <f t="array" ref="H423">IFERROR(INDEX(Base_Estudiantes!$F$4:$F$505,MATCH(D423,Base_Estudiantes!$C$4:$C$505,0)),"")</f>
        <v/>
      </c>
      <c r="I423" s="7" t="str">
        <f t="array" ref="I423">IFERROR(INDEX(Base_Estudiantes!$G$4:$G$505,MATCH(D423,Base_Estudiantes!$C$4:$C$505,0)),"")</f>
        <v/>
      </c>
      <c r="J423" s="7" t="str">
        <f t="array" ref="J423">IFERROR(INDEX(Base_Estudiantes!$H$4:$H$505,MATCH(D423,Base_Estudiantes!$C$4:$C$505,0)),"")</f>
        <v/>
      </c>
      <c r="K423" s="5"/>
      <c r="L423" s="5"/>
      <c r="M423" s="5"/>
      <c r="N423" s="5"/>
      <c r="O423" s="5"/>
      <c r="P423" s="5"/>
      <c r="Q423" s="5"/>
      <c r="R423" s="20"/>
      <c r="S423" s="5"/>
      <c r="T423" s="5"/>
    </row>
    <row r="424" spans="1:20" ht="15.75" customHeight="1">
      <c r="A424" s="19" t="str">
        <f t="shared" si="0"/>
        <v/>
      </c>
      <c r="B424" s="6"/>
      <c r="C424" s="20"/>
      <c r="D424" s="5"/>
      <c r="E424" s="7" t="str">
        <f t="array" ref="E424">IFERROR(INDEX(Base_Estudiantes!$A$4:$A$505,MATCH(D424,Base_Estudiantes!$C$4:$C$505,0)),"")</f>
        <v/>
      </c>
      <c r="F424" s="7" t="str">
        <f t="array" ref="F424">IFERROR(INDEX(Base_Estudiantes!$B$4:$B$505,MATCH(D424,Base_Estudiantes!$C$4:$C$505,0)),"")</f>
        <v/>
      </c>
      <c r="G424" s="7" t="str">
        <f t="array" ref="G424">IFERROR(INDEX(Base_Estudiantes!$D$4:$D$505,MATCH(D424,Base_Estudiantes!$C$4:$C$505,0)),"")</f>
        <v/>
      </c>
      <c r="H424" s="7" t="str">
        <f t="array" ref="H424">IFERROR(INDEX(Base_Estudiantes!$F$4:$F$505,MATCH(D424,Base_Estudiantes!$C$4:$C$505,0)),"")</f>
        <v/>
      </c>
      <c r="I424" s="7" t="str">
        <f t="array" ref="I424">IFERROR(INDEX(Base_Estudiantes!$G$4:$G$505,MATCH(D424,Base_Estudiantes!$C$4:$C$505,0)),"")</f>
        <v/>
      </c>
      <c r="J424" s="7" t="str">
        <f t="array" ref="J424">IFERROR(INDEX(Base_Estudiantes!$H$4:$H$505,MATCH(D424,Base_Estudiantes!$C$4:$C$505,0)),"")</f>
        <v/>
      </c>
      <c r="K424" s="5"/>
      <c r="L424" s="5"/>
      <c r="M424" s="5"/>
      <c r="N424" s="5"/>
      <c r="O424" s="5"/>
      <c r="P424" s="5"/>
      <c r="Q424" s="5"/>
      <c r="R424" s="20"/>
      <c r="S424" s="5"/>
      <c r="T424" s="5"/>
    </row>
    <row r="425" spans="1:20" ht="15.75" customHeight="1">
      <c r="A425" s="19" t="str">
        <f t="shared" si="0"/>
        <v/>
      </c>
      <c r="B425" s="6"/>
      <c r="C425" s="20"/>
      <c r="D425" s="5"/>
      <c r="E425" s="7" t="str">
        <f t="array" ref="E425">IFERROR(INDEX(Base_Estudiantes!$A$4:$A$505,MATCH(D425,Base_Estudiantes!$C$4:$C$505,0)),"")</f>
        <v/>
      </c>
      <c r="F425" s="7" t="str">
        <f t="array" ref="F425">IFERROR(INDEX(Base_Estudiantes!$B$4:$B$505,MATCH(D425,Base_Estudiantes!$C$4:$C$505,0)),"")</f>
        <v/>
      </c>
      <c r="G425" s="7" t="str">
        <f t="array" ref="G425">IFERROR(INDEX(Base_Estudiantes!$D$4:$D$505,MATCH(D425,Base_Estudiantes!$C$4:$C$505,0)),"")</f>
        <v/>
      </c>
      <c r="H425" s="7" t="str">
        <f t="array" ref="H425">IFERROR(INDEX(Base_Estudiantes!$F$4:$F$505,MATCH(D425,Base_Estudiantes!$C$4:$C$505,0)),"")</f>
        <v/>
      </c>
      <c r="I425" s="7" t="str">
        <f t="array" ref="I425">IFERROR(INDEX(Base_Estudiantes!$G$4:$G$505,MATCH(D425,Base_Estudiantes!$C$4:$C$505,0)),"")</f>
        <v/>
      </c>
      <c r="J425" s="7" t="str">
        <f t="array" ref="J425">IFERROR(INDEX(Base_Estudiantes!$H$4:$H$505,MATCH(D425,Base_Estudiantes!$C$4:$C$505,0)),"")</f>
        <v/>
      </c>
      <c r="K425" s="5"/>
      <c r="L425" s="5"/>
      <c r="M425" s="5"/>
      <c r="N425" s="5"/>
      <c r="O425" s="5"/>
      <c r="P425" s="5"/>
      <c r="Q425" s="5"/>
      <c r="R425" s="20"/>
      <c r="S425" s="5"/>
      <c r="T425" s="5"/>
    </row>
    <row r="426" spans="1:20" ht="15.75" customHeight="1">
      <c r="A426" s="19" t="str">
        <f t="shared" si="0"/>
        <v/>
      </c>
      <c r="B426" s="6"/>
      <c r="C426" s="20"/>
      <c r="D426" s="5"/>
      <c r="E426" s="7" t="str">
        <f t="array" ref="E426">IFERROR(INDEX(Base_Estudiantes!$A$4:$A$505,MATCH(D426,Base_Estudiantes!$C$4:$C$505,0)),"")</f>
        <v/>
      </c>
      <c r="F426" s="7" t="str">
        <f t="array" ref="F426">IFERROR(INDEX(Base_Estudiantes!$B$4:$B$505,MATCH(D426,Base_Estudiantes!$C$4:$C$505,0)),"")</f>
        <v/>
      </c>
      <c r="G426" s="7" t="str">
        <f t="array" ref="G426">IFERROR(INDEX(Base_Estudiantes!$D$4:$D$505,MATCH(D426,Base_Estudiantes!$C$4:$C$505,0)),"")</f>
        <v/>
      </c>
      <c r="H426" s="7" t="str">
        <f t="array" ref="H426">IFERROR(INDEX(Base_Estudiantes!$F$4:$F$505,MATCH(D426,Base_Estudiantes!$C$4:$C$505,0)),"")</f>
        <v/>
      </c>
      <c r="I426" s="7" t="str">
        <f t="array" ref="I426">IFERROR(INDEX(Base_Estudiantes!$G$4:$G$505,MATCH(D426,Base_Estudiantes!$C$4:$C$505,0)),"")</f>
        <v/>
      </c>
      <c r="J426" s="7" t="str">
        <f t="array" ref="J426">IFERROR(INDEX(Base_Estudiantes!$H$4:$H$505,MATCH(D426,Base_Estudiantes!$C$4:$C$505,0)),"")</f>
        <v/>
      </c>
      <c r="K426" s="5"/>
      <c r="L426" s="5"/>
      <c r="M426" s="5"/>
      <c r="N426" s="5"/>
      <c r="O426" s="5"/>
      <c r="P426" s="5"/>
      <c r="Q426" s="5"/>
      <c r="R426" s="20"/>
      <c r="S426" s="5"/>
      <c r="T426" s="5"/>
    </row>
    <row r="427" spans="1:20" ht="15.75" customHeight="1">
      <c r="A427" s="19" t="str">
        <f t="shared" si="0"/>
        <v/>
      </c>
      <c r="B427" s="6"/>
      <c r="C427" s="20"/>
      <c r="D427" s="5"/>
      <c r="E427" s="7" t="str">
        <f t="array" ref="E427">IFERROR(INDEX(Base_Estudiantes!$A$4:$A$505,MATCH(D427,Base_Estudiantes!$C$4:$C$505,0)),"")</f>
        <v/>
      </c>
      <c r="F427" s="7" t="str">
        <f t="array" ref="F427">IFERROR(INDEX(Base_Estudiantes!$B$4:$B$505,MATCH(D427,Base_Estudiantes!$C$4:$C$505,0)),"")</f>
        <v/>
      </c>
      <c r="G427" s="7" t="str">
        <f t="array" ref="G427">IFERROR(INDEX(Base_Estudiantes!$D$4:$D$505,MATCH(D427,Base_Estudiantes!$C$4:$C$505,0)),"")</f>
        <v/>
      </c>
      <c r="H427" s="7" t="str">
        <f t="array" ref="H427">IFERROR(INDEX(Base_Estudiantes!$F$4:$F$505,MATCH(D427,Base_Estudiantes!$C$4:$C$505,0)),"")</f>
        <v/>
      </c>
      <c r="I427" s="7" t="str">
        <f t="array" ref="I427">IFERROR(INDEX(Base_Estudiantes!$G$4:$G$505,MATCH(D427,Base_Estudiantes!$C$4:$C$505,0)),"")</f>
        <v/>
      </c>
      <c r="J427" s="7" t="str">
        <f t="array" ref="J427">IFERROR(INDEX(Base_Estudiantes!$H$4:$H$505,MATCH(D427,Base_Estudiantes!$C$4:$C$505,0)),"")</f>
        <v/>
      </c>
      <c r="K427" s="5"/>
      <c r="L427" s="5"/>
      <c r="M427" s="5"/>
      <c r="N427" s="5"/>
      <c r="O427" s="5"/>
      <c r="P427" s="5"/>
      <c r="Q427" s="5"/>
      <c r="R427" s="20"/>
      <c r="S427" s="5"/>
      <c r="T427" s="5"/>
    </row>
    <row r="428" spans="1:20" ht="15.75" customHeight="1">
      <c r="A428" s="19" t="str">
        <f t="shared" si="0"/>
        <v/>
      </c>
      <c r="B428" s="6"/>
      <c r="C428" s="20"/>
      <c r="D428" s="5"/>
      <c r="E428" s="7" t="str">
        <f t="array" ref="E428">IFERROR(INDEX(Base_Estudiantes!$A$4:$A$505,MATCH(D428,Base_Estudiantes!$C$4:$C$505,0)),"")</f>
        <v/>
      </c>
      <c r="F428" s="7" t="str">
        <f t="array" ref="F428">IFERROR(INDEX(Base_Estudiantes!$B$4:$B$505,MATCH(D428,Base_Estudiantes!$C$4:$C$505,0)),"")</f>
        <v/>
      </c>
      <c r="G428" s="7" t="str">
        <f t="array" ref="G428">IFERROR(INDEX(Base_Estudiantes!$D$4:$D$505,MATCH(D428,Base_Estudiantes!$C$4:$C$505,0)),"")</f>
        <v/>
      </c>
      <c r="H428" s="7" t="str">
        <f t="array" ref="H428">IFERROR(INDEX(Base_Estudiantes!$F$4:$F$505,MATCH(D428,Base_Estudiantes!$C$4:$C$505,0)),"")</f>
        <v/>
      </c>
      <c r="I428" s="7" t="str">
        <f t="array" ref="I428">IFERROR(INDEX(Base_Estudiantes!$G$4:$G$505,MATCH(D428,Base_Estudiantes!$C$4:$C$505,0)),"")</f>
        <v/>
      </c>
      <c r="J428" s="7" t="str">
        <f t="array" ref="J428">IFERROR(INDEX(Base_Estudiantes!$H$4:$H$505,MATCH(D428,Base_Estudiantes!$C$4:$C$505,0)),"")</f>
        <v/>
      </c>
      <c r="K428" s="5"/>
      <c r="L428" s="5"/>
      <c r="M428" s="5"/>
      <c r="N428" s="5"/>
      <c r="O428" s="5"/>
      <c r="P428" s="5"/>
      <c r="Q428" s="5"/>
      <c r="R428" s="20"/>
      <c r="S428" s="5"/>
      <c r="T428" s="5"/>
    </row>
    <row r="429" spans="1:20" ht="15.75" customHeight="1">
      <c r="A429" s="19" t="str">
        <f t="shared" si="0"/>
        <v/>
      </c>
      <c r="B429" s="6"/>
      <c r="C429" s="20"/>
      <c r="D429" s="5"/>
      <c r="E429" s="7" t="str">
        <f t="array" ref="E429">IFERROR(INDEX(Base_Estudiantes!$A$4:$A$505,MATCH(D429,Base_Estudiantes!$C$4:$C$505,0)),"")</f>
        <v/>
      </c>
      <c r="F429" s="7" t="str">
        <f t="array" ref="F429">IFERROR(INDEX(Base_Estudiantes!$B$4:$B$505,MATCH(D429,Base_Estudiantes!$C$4:$C$505,0)),"")</f>
        <v/>
      </c>
      <c r="G429" s="7" t="str">
        <f t="array" ref="G429">IFERROR(INDEX(Base_Estudiantes!$D$4:$D$505,MATCH(D429,Base_Estudiantes!$C$4:$C$505,0)),"")</f>
        <v/>
      </c>
      <c r="H429" s="7" t="str">
        <f t="array" ref="H429">IFERROR(INDEX(Base_Estudiantes!$F$4:$F$505,MATCH(D429,Base_Estudiantes!$C$4:$C$505,0)),"")</f>
        <v/>
      </c>
      <c r="I429" s="7" t="str">
        <f t="array" ref="I429">IFERROR(INDEX(Base_Estudiantes!$G$4:$G$505,MATCH(D429,Base_Estudiantes!$C$4:$C$505,0)),"")</f>
        <v/>
      </c>
      <c r="J429" s="7" t="str">
        <f t="array" ref="J429">IFERROR(INDEX(Base_Estudiantes!$H$4:$H$505,MATCH(D429,Base_Estudiantes!$C$4:$C$505,0)),"")</f>
        <v/>
      </c>
      <c r="K429" s="5"/>
      <c r="L429" s="5"/>
      <c r="M429" s="5"/>
      <c r="N429" s="5"/>
      <c r="O429" s="5"/>
      <c r="P429" s="5"/>
      <c r="Q429" s="5"/>
      <c r="R429" s="20"/>
      <c r="S429" s="5"/>
      <c r="T429" s="5"/>
    </row>
    <row r="430" spans="1:20" ht="15.75" customHeight="1">
      <c r="A430" s="19" t="str">
        <f t="shared" si="0"/>
        <v/>
      </c>
      <c r="B430" s="6"/>
      <c r="C430" s="20"/>
      <c r="D430" s="5"/>
      <c r="E430" s="7" t="str">
        <f t="array" ref="E430">IFERROR(INDEX(Base_Estudiantes!$A$4:$A$505,MATCH(D430,Base_Estudiantes!$C$4:$C$505,0)),"")</f>
        <v/>
      </c>
      <c r="F430" s="7" t="str">
        <f t="array" ref="F430">IFERROR(INDEX(Base_Estudiantes!$B$4:$B$505,MATCH(D430,Base_Estudiantes!$C$4:$C$505,0)),"")</f>
        <v/>
      </c>
      <c r="G430" s="7" t="str">
        <f t="array" ref="G430">IFERROR(INDEX(Base_Estudiantes!$D$4:$D$505,MATCH(D430,Base_Estudiantes!$C$4:$C$505,0)),"")</f>
        <v/>
      </c>
      <c r="H430" s="7" t="str">
        <f t="array" ref="H430">IFERROR(INDEX(Base_Estudiantes!$F$4:$F$505,MATCH(D430,Base_Estudiantes!$C$4:$C$505,0)),"")</f>
        <v/>
      </c>
      <c r="I430" s="7" t="str">
        <f t="array" ref="I430">IFERROR(INDEX(Base_Estudiantes!$G$4:$G$505,MATCH(D430,Base_Estudiantes!$C$4:$C$505,0)),"")</f>
        <v/>
      </c>
      <c r="J430" s="7" t="str">
        <f t="array" ref="J430">IFERROR(INDEX(Base_Estudiantes!$H$4:$H$505,MATCH(D430,Base_Estudiantes!$C$4:$C$505,0)),"")</f>
        <v/>
      </c>
      <c r="K430" s="5"/>
      <c r="L430" s="5"/>
      <c r="M430" s="5"/>
      <c r="N430" s="5"/>
      <c r="O430" s="5"/>
      <c r="P430" s="5"/>
      <c r="Q430" s="5"/>
      <c r="R430" s="20"/>
      <c r="S430" s="5"/>
      <c r="T430" s="5"/>
    </row>
    <row r="431" spans="1:20" ht="15.75" customHeight="1">
      <c r="A431" s="19" t="str">
        <f t="shared" si="0"/>
        <v/>
      </c>
      <c r="B431" s="6"/>
      <c r="C431" s="20"/>
      <c r="D431" s="5"/>
      <c r="E431" s="7" t="str">
        <f t="array" ref="E431">IFERROR(INDEX(Base_Estudiantes!$A$4:$A$505,MATCH(D431,Base_Estudiantes!$C$4:$C$505,0)),"")</f>
        <v/>
      </c>
      <c r="F431" s="7" t="str">
        <f t="array" ref="F431">IFERROR(INDEX(Base_Estudiantes!$B$4:$B$505,MATCH(D431,Base_Estudiantes!$C$4:$C$505,0)),"")</f>
        <v/>
      </c>
      <c r="G431" s="7" t="str">
        <f t="array" ref="G431">IFERROR(INDEX(Base_Estudiantes!$D$4:$D$505,MATCH(D431,Base_Estudiantes!$C$4:$C$505,0)),"")</f>
        <v/>
      </c>
      <c r="H431" s="7" t="str">
        <f t="array" ref="H431">IFERROR(INDEX(Base_Estudiantes!$F$4:$F$505,MATCH(D431,Base_Estudiantes!$C$4:$C$505,0)),"")</f>
        <v/>
      </c>
      <c r="I431" s="7" t="str">
        <f t="array" ref="I431">IFERROR(INDEX(Base_Estudiantes!$G$4:$G$505,MATCH(D431,Base_Estudiantes!$C$4:$C$505,0)),"")</f>
        <v/>
      </c>
      <c r="J431" s="7" t="str">
        <f t="array" ref="J431">IFERROR(INDEX(Base_Estudiantes!$H$4:$H$505,MATCH(D431,Base_Estudiantes!$C$4:$C$505,0)),"")</f>
        <v/>
      </c>
      <c r="K431" s="5"/>
      <c r="L431" s="5"/>
      <c r="M431" s="5"/>
      <c r="N431" s="5"/>
      <c r="O431" s="5"/>
      <c r="P431" s="5"/>
      <c r="Q431" s="5"/>
      <c r="R431" s="20"/>
      <c r="S431" s="5"/>
      <c r="T431" s="5"/>
    </row>
    <row r="432" spans="1:20" ht="15.75" customHeight="1">
      <c r="A432" s="19" t="str">
        <f t="shared" si="0"/>
        <v/>
      </c>
      <c r="B432" s="6"/>
      <c r="C432" s="20"/>
      <c r="D432" s="5"/>
      <c r="E432" s="7" t="str">
        <f t="array" ref="E432">IFERROR(INDEX(Base_Estudiantes!$A$4:$A$505,MATCH(D432,Base_Estudiantes!$C$4:$C$505,0)),"")</f>
        <v/>
      </c>
      <c r="F432" s="7" t="str">
        <f t="array" ref="F432">IFERROR(INDEX(Base_Estudiantes!$B$4:$B$505,MATCH(D432,Base_Estudiantes!$C$4:$C$505,0)),"")</f>
        <v/>
      </c>
      <c r="G432" s="7" t="str">
        <f t="array" ref="G432">IFERROR(INDEX(Base_Estudiantes!$D$4:$D$505,MATCH(D432,Base_Estudiantes!$C$4:$C$505,0)),"")</f>
        <v/>
      </c>
      <c r="H432" s="7" t="str">
        <f t="array" ref="H432">IFERROR(INDEX(Base_Estudiantes!$F$4:$F$505,MATCH(D432,Base_Estudiantes!$C$4:$C$505,0)),"")</f>
        <v/>
      </c>
      <c r="I432" s="7" t="str">
        <f t="array" ref="I432">IFERROR(INDEX(Base_Estudiantes!$G$4:$G$505,MATCH(D432,Base_Estudiantes!$C$4:$C$505,0)),"")</f>
        <v/>
      </c>
      <c r="J432" s="7" t="str">
        <f t="array" ref="J432">IFERROR(INDEX(Base_Estudiantes!$H$4:$H$505,MATCH(D432,Base_Estudiantes!$C$4:$C$505,0)),"")</f>
        <v/>
      </c>
      <c r="K432" s="5"/>
      <c r="L432" s="5"/>
      <c r="M432" s="5"/>
      <c r="N432" s="5"/>
      <c r="O432" s="5"/>
      <c r="P432" s="5"/>
      <c r="Q432" s="5"/>
      <c r="R432" s="20"/>
      <c r="S432" s="5"/>
      <c r="T432" s="5"/>
    </row>
    <row r="433" spans="1:20" ht="15.75" customHeight="1">
      <c r="A433" s="19" t="str">
        <f t="shared" si="0"/>
        <v/>
      </c>
      <c r="B433" s="6"/>
      <c r="C433" s="20"/>
      <c r="D433" s="5"/>
      <c r="E433" s="7" t="str">
        <f t="array" ref="E433">IFERROR(INDEX(Base_Estudiantes!$A$4:$A$505,MATCH(D433,Base_Estudiantes!$C$4:$C$505,0)),"")</f>
        <v/>
      </c>
      <c r="F433" s="7" t="str">
        <f t="array" ref="F433">IFERROR(INDEX(Base_Estudiantes!$B$4:$B$505,MATCH(D433,Base_Estudiantes!$C$4:$C$505,0)),"")</f>
        <v/>
      </c>
      <c r="G433" s="7" t="str">
        <f t="array" ref="G433">IFERROR(INDEX(Base_Estudiantes!$D$4:$D$505,MATCH(D433,Base_Estudiantes!$C$4:$C$505,0)),"")</f>
        <v/>
      </c>
      <c r="H433" s="7" t="str">
        <f t="array" ref="H433">IFERROR(INDEX(Base_Estudiantes!$F$4:$F$505,MATCH(D433,Base_Estudiantes!$C$4:$C$505,0)),"")</f>
        <v/>
      </c>
      <c r="I433" s="7" t="str">
        <f t="array" ref="I433">IFERROR(INDEX(Base_Estudiantes!$G$4:$G$505,MATCH(D433,Base_Estudiantes!$C$4:$C$505,0)),"")</f>
        <v/>
      </c>
      <c r="J433" s="7" t="str">
        <f t="array" ref="J433">IFERROR(INDEX(Base_Estudiantes!$H$4:$H$505,MATCH(D433,Base_Estudiantes!$C$4:$C$505,0)),"")</f>
        <v/>
      </c>
      <c r="K433" s="5"/>
      <c r="L433" s="5"/>
      <c r="M433" s="5"/>
      <c r="N433" s="5"/>
      <c r="O433" s="5"/>
      <c r="P433" s="5"/>
      <c r="Q433" s="5"/>
      <c r="R433" s="20"/>
      <c r="S433" s="5"/>
      <c r="T433" s="5"/>
    </row>
    <row r="434" spans="1:20" ht="15.75" customHeight="1">
      <c r="A434" s="19" t="str">
        <f t="shared" si="0"/>
        <v/>
      </c>
      <c r="B434" s="6"/>
      <c r="C434" s="20"/>
      <c r="D434" s="5"/>
      <c r="E434" s="7" t="str">
        <f t="array" ref="E434">IFERROR(INDEX(Base_Estudiantes!$A$4:$A$505,MATCH(D434,Base_Estudiantes!$C$4:$C$505,0)),"")</f>
        <v/>
      </c>
      <c r="F434" s="7" t="str">
        <f t="array" ref="F434">IFERROR(INDEX(Base_Estudiantes!$B$4:$B$505,MATCH(D434,Base_Estudiantes!$C$4:$C$505,0)),"")</f>
        <v/>
      </c>
      <c r="G434" s="7" t="str">
        <f t="array" ref="G434">IFERROR(INDEX(Base_Estudiantes!$D$4:$D$505,MATCH(D434,Base_Estudiantes!$C$4:$C$505,0)),"")</f>
        <v/>
      </c>
      <c r="H434" s="7" t="str">
        <f t="array" ref="H434">IFERROR(INDEX(Base_Estudiantes!$F$4:$F$505,MATCH(D434,Base_Estudiantes!$C$4:$C$505,0)),"")</f>
        <v/>
      </c>
      <c r="I434" s="7" t="str">
        <f t="array" ref="I434">IFERROR(INDEX(Base_Estudiantes!$G$4:$G$505,MATCH(D434,Base_Estudiantes!$C$4:$C$505,0)),"")</f>
        <v/>
      </c>
      <c r="J434" s="7" t="str">
        <f t="array" ref="J434">IFERROR(INDEX(Base_Estudiantes!$H$4:$H$505,MATCH(D434,Base_Estudiantes!$C$4:$C$505,0)),"")</f>
        <v/>
      </c>
      <c r="K434" s="5"/>
      <c r="L434" s="5"/>
      <c r="M434" s="5"/>
      <c r="N434" s="5"/>
      <c r="O434" s="5"/>
      <c r="P434" s="5"/>
      <c r="Q434" s="5"/>
      <c r="R434" s="20"/>
      <c r="S434" s="5"/>
      <c r="T434" s="5"/>
    </row>
    <row r="435" spans="1:20" ht="15.75" customHeight="1">
      <c r="A435" s="19" t="str">
        <f t="shared" si="0"/>
        <v/>
      </c>
      <c r="B435" s="6"/>
      <c r="C435" s="20"/>
      <c r="D435" s="5"/>
      <c r="E435" s="7" t="str">
        <f t="array" ref="E435">IFERROR(INDEX(Base_Estudiantes!$A$4:$A$505,MATCH(D435,Base_Estudiantes!$C$4:$C$505,0)),"")</f>
        <v/>
      </c>
      <c r="F435" s="7" t="str">
        <f t="array" ref="F435">IFERROR(INDEX(Base_Estudiantes!$B$4:$B$505,MATCH(D435,Base_Estudiantes!$C$4:$C$505,0)),"")</f>
        <v/>
      </c>
      <c r="G435" s="7" t="str">
        <f t="array" ref="G435">IFERROR(INDEX(Base_Estudiantes!$D$4:$D$505,MATCH(D435,Base_Estudiantes!$C$4:$C$505,0)),"")</f>
        <v/>
      </c>
      <c r="H435" s="7" t="str">
        <f t="array" ref="H435">IFERROR(INDEX(Base_Estudiantes!$F$4:$F$505,MATCH(D435,Base_Estudiantes!$C$4:$C$505,0)),"")</f>
        <v/>
      </c>
      <c r="I435" s="7" t="str">
        <f t="array" ref="I435">IFERROR(INDEX(Base_Estudiantes!$G$4:$G$505,MATCH(D435,Base_Estudiantes!$C$4:$C$505,0)),"")</f>
        <v/>
      </c>
      <c r="J435" s="7" t="str">
        <f t="array" ref="J435">IFERROR(INDEX(Base_Estudiantes!$H$4:$H$505,MATCH(D435,Base_Estudiantes!$C$4:$C$505,0)),"")</f>
        <v/>
      </c>
      <c r="K435" s="5"/>
      <c r="L435" s="5"/>
      <c r="M435" s="5"/>
      <c r="N435" s="5"/>
      <c r="O435" s="5"/>
      <c r="P435" s="5"/>
      <c r="Q435" s="5"/>
      <c r="R435" s="20"/>
      <c r="S435" s="5"/>
      <c r="T435" s="5"/>
    </row>
    <row r="436" spans="1:20" ht="15.75" customHeight="1">
      <c r="A436" s="19" t="str">
        <f t="shared" si="0"/>
        <v/>
      </c>
      <c r="B436" s="6"/>
      <c r="C436" s="20"/>
      <c r="D436" s="5"/>
      <c r="E436" s="7" t="str">
        <f t="array" ref="E436">IFERROR(INDEX(Base_Estudiantes!$A$4:$A$505,MATCH(D436,Base_Estudiantes!$C$4:$C$505,0)),"")</f>
        <v/>
      </c>
      <c r="F436" s="7" t="str">
        <f t="array" ref="F436">IFERROR(INDEX(Base_Estudiantes!$B$4:$B$505,MATCH(D436,Base_Estudiantes!$C$4:$C$505,0)),"")</f>
        <v/>
      </c>
      <c r="G436" s="7" t="str">
        <f t="array" ref="G436">IFERROR(INDEX(Base_Estudiantes!$D$4:$D$505,MATCH(D436,Base_Estudiantes!$C$4:$C$505,0)),"")</f>
        <v/>
      </c>
      <c r="H436" s="7" t="str">
        <f t="array" ref="H436">IFERROR(INDEX(Base_Estudiantes!$F$4:$F$505,MATCH(D436,Base_Estudiantes!$C$4:$C$505,0)),"")</f>
        <v/>
      </c>
      <c r="I436" s="7" t="str">
        <f t="array" ref="I436">IFERROR(INDEX(Base_Estudiantes!$G$4:$G$505,MATCH(D436,Base_Estudiantes!$C$4:$C$505,0)),"")</f>
        <v/>
      </c>
      <c r="J436" s="7" t="str">
        <f t="array" ref="J436">IFERROR(INDEX(Base_Estudiantes!$H$4:$H$505,MATCH(D436,Base_Estudiantes!$C$4:$C$505,0)),"")</f>
        <v/>
      </c>
      <c r="K436" s="5"/>
      <c r="L436" s="5"/>
      <c r="M436" s="5"/>
      <c r="N436" s="5"/>
      <c r="O436" s="5"/>
      <c r="P436" s="5"/>
      <c r="Q436" s="5"/>
      <c r="R436" s="20"/>
      <c r="S436" s="5"/>
      <c r="T436" s="5"/>
    </row>
    <row r="437" spans="1:20" ht="15.75" customHeight="1">
      <c r="A437" s="19" t="str">
        <f t="shared" si="0"/>
        <v/>
      </c>
      <c r="B437" s="6"/>
      <c r="C437" s="20"/>
      <c r="D437" s="5"/>
      <c r="E437" s="7" t="str">
        <f t="array" ref="E437">IFERROR(INDEX(Base_Estudiantes!$A$4:$A$505,MATCH(D437,Base_Estudiantes!$C$4:$C$505,0)),"")</f>
        <v/>
      </c>
      <c r="F437" s="7" t="str">
        <f t="array" ref="F437">IFERROR(INDEX(Base_Estudiantes!$B$4:$B$505,MATCH(D437,Base_Estudiantes!$C$4:$C$505,0)),"")</f>
        <v/>
      </c>
      <c r="G437" s="7" t="str">
        <f t="array" ref="G437">IFERROR(INDEX(Base_Estudiantes!$D$4:$D$505,MATCH(D437,Base_Estudiantes!$C$4:$C$505,0)),"")</f>
        <v/>
      </c>
      <c r="H437" s="7" t="str">
        <f t="array" ref="H437">IFERROR(INDEX(Base_Estudiantes!$F$4:$F$505,MATCH(D437,Base_Estudiantes!$C$4:$C$505,0)),"")</f>
        <v/>
      </c>
      <c r="I437" s="7" t="str">
        <f t="array" ref="I437">IFERROR(INDEX(Base_Estudiantes!$G$4:$G$505,MATCH(D437,Base_Estudiantes!$C$4:$C$505,0)),"")</f>
        <v/>
      </c>
      <c r="J437" s="7" t="str">
        <f t="array" ref="J437">IFERROR(INDEX(Base_Estudiantes!$H$4:$H$505,MATCH(D437,Base_Estudiantes!$C$4:$C$505,0)),"")</f>
        <v/>
      </c>
      <c r="K437" s="5"/>
      <c r="L437" s="5"/>
      <c r="M437" s="5"/>
      <c r="N437" s="5"/>
      <c r="O437" s="5"/>
      <c r="P437" s="5"/>
      <c r="Q437" s="5"/>
      <c r="R437" s="20"/>
      <c r="S437" s="5"/>
      <c r="T437" s="5"/>
    </row>
    <row r="438" spans="1:20" ht="15.75" customHeight="1">
      <c r="A438" s="19" t="str">
        <f t="shared" si="0"/>
        <v/>
      </c>
      <c r="B438" s="6"/>
      <c r="C438" s="20"/>
      <c r="D438" s="5"/>
      <c r="E438" s="7" t="str">
        <f t="array" ref="E438">IFERROR(INDEX(Base_Estudiantes!$A$4:$A$505,MATCH(D438,Base_Estudiantes!$C$4:$C$505,0)),"")</f>
        <v/>
      </c>
      <c r="F438" s="7" t="str">
        <f t="array" ref="F438">IFERROR(INDEX(Base_Estudiantes!$B$4:$B$505,MATCH(D438,Base_Estudiantes!$C$4:$C$505,0)),"")</f>
        <v/>
      </c>
      <c r="G438" s="7" t="str">
        <f t="array" ref="G438">IFERROR(INDEX(Base_Estudiantes!$D$4:$D$505,MATCH(D438,Base_Estudiantes!$C$4:$C$505,0)),"")</f>
        <v/>
      </c>
      <c r="H438" s="7" t="str">
        <f t="array" ref="H438">IFERROR(INDEX(Base_Estudiantes!$F$4:$F$505,MATCH(D438,Base_Estudiantes!$C$4:$C$505,0)),"")</f>
        <v/>
      </c>
      <c r="I438" s="7" t="str">
        <f t="array" ref="I438">IFERROR(INDEX(Base_Estudiantes!$G$4:$G$505,MATCH(D438,Base_Estudiantes!$C$4:$C$505,0)),"")</f>
        <v/>
      </c>
      <c r="J438" s="7" t="str">
        <f t="array" ref="J438">IFERROR(INDEX(Base_Estudiantes!$H$4:$H$505,MATCH(D438,Base_Estudiantes!$C$4:$C$505,0)),"")</f>
        <v/>
      </c>
      <c r="K438" s="5"/>
      <c r="L438" s="5"/>
      <c r="M438" s="5"/>
      <c r="N438" s="5"/>
      <c r="O438" s="5"/>
      <c r="P438" s="5"/>
      <c r="Q438" s="5"/>
      <c r="R438" s="20"/>
      <c r="S438" s="5"/>
      <c r="T438" s="5"/>
    </row>
    <row r="439" spans="1:20" ht="15.75" customHeight="1">
      <c r="A439" s="19" t="str">
        <f t="shared" si="0"/>
        <v/>
      </c>
      <c r="B439" s="6"/>
      <c r="C439" s="20"/>
      <c r="D439" s="5"/>
      <c r="E439" s="7" t="str">
        <f t="array" ref="E439">IFERROR(INDEX(Base_Estudiantes!$A$4:$A$505,MATCH(D439,Base_Estudiantes!$C$4:$C$505,0)),"")</f>
        <v/>
      </c>
      <c r="F439" s="7" t="str">
        <f t="array" ref="F439">IFERROR(INDEX(Base_Estudiantes!$B$4:$B$505,MATCH(D439,Base_Estudiantes!$C$4:$C$505,0)),"")</f>
        <v/>
      </c>
      <c r="G439" s="7" t="str">
        <f t="array" ref="G439">IFERROR(INDEX(Base_Estudiantes!$D$4:$D$505,MATCH(D439,Base_Estudiantes!$C$4:$C$505,0)),"")</f>
        <v/>
      </c>
      <c r="H439" s="7" t="str">
        <f t="array" ref="H439">IFERROR(INDEX(Base_Estudiantes!$F$4:$F$505,MATCH(D439,Base_Estudiantes!$C$4:$C$505,0)),"")</f>
        <v/>
      </c>
      <c r="I439" s="7" t="str">
        <f t="array" ref="I439">IFERROR(INDEX(Base_Estudiantes!$G$4:$G$505,MATCH(D439,Base_Estudiantes!$C$4:$C$505,0)),"")</f>
        <v/>
      </c>
      <c r="J439" s="7" t="str">
        <f t="array" ref="J439">IFERROR(INDEX(Base_Estudiantes!$H$4:$H$505,MATCH(D439,Base_Estudiantes!$C$4:$C$505,0)),"")</f>
        <v/>
      </c>
      <c r="K439" s="5"/>
      <c r="L439" s="5"/>
      <c r="M439" s="5"/>
      <c r="N439" s="5"/>
      <c r="O439" s="5"/>
      <c r="P439" s="5"/>
      <c r="Q439" s="5"/>
      <c r="R439" s="20"/>
      <c r="S439" s="5"/>
      <c r="T439" s="5"/>
    </row>
    <row r="440" spans="1:20" ht="15.75" customHeight="1">
      <c r="A440" s="19" t="str">
        <f t="shared" si="0"/>
        <v/>
      </c>
      <c r="B440" s="6"/>
      <c r="C440" s="20"/>
      <c r="D440" s="5"/>
      <c r="E440" s="7" t="str">
        <f t="array" ref="E440">IFERROR(INDEX(Base_Estudiantes!$A$4:$A$505,MATCH(D440,Base_Estudiantes!$C$4:$C$505,0)),"")</f>
        <v/>
      </c>
      <c r="F440" s="7" t="str">
        <f t="array" ref="F440">IFERROR(INDEX(Base_Estudiantes!$B$4:$B$505,MATCH(D440,Base_Estudiantes!$C$4:$C$505,0)),"")</f>
        <v/>
      </c>
      <c r="G440" s="7" t="str">
        <f t="array" ref="G440">IFERROR(INDEX(Base_Estudiantes!$D$4:$D$505,MATCH(D440,Base_Estudiantes!$C$4:$C$505,0)),"")</f>
        <v/>
      </c>
      <c r="H440" s="7" t="str">
        <f t="array" ref="H440">IFERROR(INDEX(Base_Estudiantes!$F$4:$F$505,MATCH(D440,Base_Estudiantes!$C$4:$C$505,0)),"")</f>
        <v/>
      </c>
      <c r="I440" s="7" t="str">
        <f t="array" ref="I440">IFERROR(INDEX(Base_Estudiantes!$G$4:$G$505,MATCH(D440,Base_Estudiantes!$C$4:$C$505,0)),"")</f>
        <v/>
      </c>
      <c r="J440" s="7" t="str">
        <f t="array" ref="J440">IFERROR(INDEX(Base_Estudiantes!$H$4:$H$505,MATCH(D440,Base_Estudiantes!$C$4:$C$505,0)),"")</f>
        <v/>
      </c>
      <c r="K440" s="5"/>
      <c r="L440" s="5"/>
      <c r="M440" s="5"/>
      <c r="N440" s="5"/>
      <c r="O440" s="5"/>
      <c r="P440" s="5"/>
      <c r="Q440" s="5"/>
      <c r="R440" s="20"/>
      <c r="S440" s="5"/>
      <c r="T440" s="5"/>
    </row>
    <row r="441" spans="1:20" ht="15.75" customHeight="1">
      <c r="A441" s="19" t="str">
        <f t="shared" si="0"/>
        <v/>
      </c>
      <c r="B441" s="6"/>
      <c r="C441" s="20"/>
      <c r="D441" s="5"/>
      <c r="E441" s="7" t="str">
        <f t="array" ref="E441">IFERROR(INDEX(Base_Estudiantes!$A$4:$A$505,MATCH(D441,Base_Estudiantes!$C$4:$C$505,0)),"")</f>
        <v/>
      </c>
      <c r="F441" s="7" t="str">
        <f t="array" ref="F441">IFERROR(INDEX(Base_Estudiantes!$B$4:$B$505,MATCH(D441,Base_Estudiantes!$C$4:$C$505,0)),"")</f>
        <v/>
      </c>
      <c r="G441" s="7" t="str">
        <f t="array" ref="G441">IFERROR(INDEX(Base_Estudiantes!$D$4:$D$505,MATCH(D441,Base_Estudiantes!$C$4:$C$505,0)),"")</f>
        <v/>
      </c>
      <c r="H441" s="7" t="str">
        <f t="array" ref="H441">IFERROR(INDEX(Base_Estudiantes!$F$4:$F$505,MATCH(D441,Base_Estudiantes!$C$4:$C$505,0)),"")</f>
        <v/>
      </c>
      <c r="I441" s="7" t="str">
        <f t="array" ref="I441">IFERROR(INDEX(Base_Estudiantes!$G$4:$G$505,MATCH(D441,Base_Estudiantes!$C$4:$C$505,0)),"")</f>
        <v/>
      </c>
      <c r="J441" s="7" t="str">
        <f t="array" ref="J441">IFERROR(INDEX(Base_Estudiantes!$H$4:$H$505,MATCH(D441,Base_Estudiantes!$C$4:$C$505,0)),"")</f>
        <v/>
      </c>
      <c r="K441" s="5"/>
      <c r="L441" s="5"/>
      <c r="M441" s="5"/>
      <c r="N441" s="5"/>
      <c r="O441" s="5"/>
      <c r="P441" s="5"/>
      <c r="Q441" s="5"/>
      <c r="R441" s="20"/>
      <c r="S441" s="5"/>
      <c r="T441" s="5"/>
    </row>
    <row r="442" spans="1:20" ht="15.75" customHeight="1">
      <c r="A442" s="19" t="str">
        <f t="shared" si="0"/>
        <v/>
      </c>
      <c r="B442" s="6"/>
      <c r="C442" s="20"/>
      <c r="D442" s="5"/>
      <c r="E442" s="7" t="str">
        <f t="array" ref="E442">IFERROR(INDEX(Base_Estudiantes!$A$4:$A$505,MATCH(D442,Base_Estudiantes!$C$4:$C$505,0)),"")</f>
        <v/>
      </c>
      <c r="F442" s="7" t="str">
        <f t="array" ref="F442">IFERROR(INDEX(Base_Estudiantes!$B$4:$B$505,MATCH(D442,Base_Estudiantes!$C$4:$C$505,0)),"")</f>
        <v/>
      </c>
      <c r="G442" s="7" t="str">
        <f t="array" ref="G442">IFERROR(INDEX(Base_Estudiantes!$D$4:$D$505,MATCH(D442,Base_Estudiantes!$C$4:$C$505,0)),"")</f>
        <v/>
      </c>
      <c r="H442" s="7" t="str">
        <f t="array" ref="H442">IFERROR(INDEX(Base_Estudiantes!$F$4:$F$505,MATCH(D442,Base_Estudiantes!$C$4:$C$505,0)),"")</f>
        <v/>
      </c>
      <c r="I442" s="7" t="str">
        <f t="array" ref="I442">IFERROR(INDEX(Base_Estudiantes!$G$4:$G$505,MATCH(D442,Base_Estudiantes!$C$4:$C$505,0)),"")</f>
        <v/>
      </c>
      <c r="J442" s="7" t="str">
        <f t="array" ref="J442">IFERROR(INDEX(Base_Estudiantes!$H$4:$H$505,MATCH(D442,Base_Estudiantes!$C$4:$C$505,0)),"")</f>
        <v/>
      </c>
      <c r="K442" s="5"/>
      <c r="L442" s="5"/>
      <c r="M442" s="5"/>
      <c r="N442" s="5"/>
      <c r="O442" s="5"/>
      <c r="P442" s="5"/>
      <c r="Q442" s="5"/>
      <c r="R442" s="20"/>
      <c r="S442" s="5"/>
      <c r="T442" s="5"/>
    </row>
    <row r="443" spans="1:20" ht="15.75" customHeight="1">
      <c r="A443" s="19" t="str">
        <f t="shared" si="0"/>
        <v/>
      </c>
      <c r="B443" s="6"/>
      <c r="C443" s="20"/>
      <c r="D443" s="5"/>
      <c r="E443" s="7" t="str">
        <f t="array" ref="E443">IFERROR(INDEX(Base_Estudiantes!$A$4:$A$505,MATCH(D443,Base_Estudiantes!$C$4:$C$505,0)),"")</f>
        <v/>
      </c>
      <c r="F443" s="7" t="str">
        <f t="array" ref="F443">IFERROR(INDEX(Base_Estudiantes!$B$4:$B$505,MATCH(D443,Base_Estudiantes!$C$4:$C$505,0)),"")</f>
        <v/>
      </c>
      <c r="G443" s="7" t="str">
        <f t="array" ref="G443">IFERROR(INDEX(Base_Estudiantes!$D$4:$D$505,MATCH(D443,Base_Estudiantes!$C$4:$C$505,0)),"")</f>
        <v/>
      </c>
      <c r="H443" s="7" t="str">
        <f t="array" ref="H443">IFERROR(INDEX(Base_Estudiantes!$F$4:$F$505,MATCH(D443,Base_Estudiantes!$C$4:$C$505,0)),"")</f>
        <v/>
      </c>
      <c r="I443" s="7" t="str">
        <f t="array" ref="I443">IFERROR(INDEX(Base_Estudiantes!$G$4:$G$505,MATCH(D443,Base_Estudiantes!$C$4:$C$505,0)),"")</f>
        <v/>
      </c>
      <c r="J443" s="7" t="str">
        <f t="array" ref="J443">IFERROR(INDEX(Base_Estudiantes!$H$4:$H$505,MATCH(D443,Base_Estudiantes!$C$4:$C$505,0)),"")</f>
        <v/>
      </c>
      <c r="K443" s="5"/>
      <c r="L443" s="5"/>
      <c r="M443" s="5"/>
      <c r="N443" s="5"/>
      <c r="O443" s="5"/>
      <c r="P443" s="5"/>
      <c r="Q443" s="5"/>
      <c r="R443" s="20"/>
      <c r="S443" s="5"/>
      <c r="T443" s="5"/>
    </row>
    <row r="444" spans="1:20" ht="15.75" customHeight="1">
      <c r="A444" s="19" t="str">
        <f t="shared" si="0"/>
        <v/>
      </c>
      <c r="B444" s="6"/>
      <c r="C444" s="20"/>
      <c r="D444" s="5"/>
      <c r="E444" s="7" t="str">
        <f t="array" ref="E444">IFERROR(INDEX(Base_Estudiantes!$A$4:$A$505,MATCH(D444,Base_Estudiantes!$C$4:$C$505,0)),"")</f>
        <v/>
      </c>
      <c r="F444" s="7" t="str">
        <f t="array" ref="F444">IFERROR(INDEX(Base_Estudiantes!$B$4:$B$505,MATCH(D444,Base_Estudiantes!$C$4:$C$505,0)),"")</f>
        <v/>
      </c>
      <c r="G444" s="7" t="str">
        <f t="array" ref="G444">IFERROR(INDEX(Base_Estudiantes!$D$4:$D$505,MATCH(D444,Base_Estudiantes!$C$4:$C$505,0)),"")</f>
        <v/>
      </c>
      <c r="H444" s="7" t="str">
        <f t="array" ref="H444">IFERROR(INDEX(Base_Estudiantes!$F$4:$F$505,MATCH(D444,Base_Estudiantes!$C$4:$C$505,0)),"")</f>
        <v/>
      </c>
      <c r="I444" s="7" t="str">
        <f t="array" ref="I444">IFERROR(INDEX(Base_Estudiantes!$G$4:$G$505,MATCH(D444,Base_Estudiantes!$C$4:$C$505,0)),"")</f>
        <v/>
      </c>
      <c r="J444" s="7" t="str">
        <f t="array" ref="J444">IFERROR(INDEX(Base_Estudiantes!$H$4:$H$505,MATCH(D444,Base_Estudiantes!$C$4:$C$505,0)),"")</f>
        <v/>
      </c>
      <c r="K444" s="5"/>
      <c r="L444" s="5"/>
      <c r="M444" s="5"/>
      <c r="N444" s="5"/>
      <c r="O444" s="5"/>
      <c r="P444" s="5"/>
      <c r="Q444" s="5"/>
      <c r="R444" s="20"/>
      <c r="S444" s="5"/>
      <c r="T444" s="5"/>
    </row>
    <row r="445" spans="1:20" ht="15.75" customHeight="1">
      <c r="A445" s="19" t="str">
        <f t="shared" si="0"/>
        <v/>
      </c>
      <c r="B445" s="6"/>
      <c r="C445" s="20"/>
      <c r="D445" s="5"/>
      <c r="E445" s="7" t="str">
        <f t="array" ref="E445">IFERROR(INDEX(Base_Estudiantes!$A$4:$A$505,MATCH(D445,Base_Estudiantes!$C$4:$C$505,0)),"")</f>
        <v/>
      </c>
      <c r="F445" s="7" t="str">
        <f t="array" ref="F445">IFERROR(INDEX(Base_Estudiantes!$B$4:$B$505,MATCH(D445,Base_Estudiantes!$C$4:$C$505,0)),"")</f>
        <v/>
      </c>
      <c r="G445" s="7" t="str">
        <f t="array" ref="G445">IFERROR(INDEX(Base_Estudiantes!$D$4:$D$505,MATCH(D445,Base_Estudiantes!$C$4:$C$505,0)),"")</f>
        <v/>
      </c>
      <c r="H445" s="7" t="str">
        <f t="array" ref="H445">IFERROR(INDEX(Base_Estudiantes!$F$4:$F$505,MATCH(D445,Base_Estudiantes!$C$4:$C$505,0)),"")</f>
        <v/>
      </c>
      <c r="I445" s="7" t="str">
        <f t="array" ref="I445">IFERROR(INDEX(Base_Estudiantes!$G$4:$G$505,MATCH(D445,Base_Estudiantes!$C$4:$C$505,0)),"")</f>
        <v/>
      </c>
      <c r="J445" s="7" t="str">
        <f t="array" ref="J445">IFERROR(INDEX(Base_Estudiantes!$H$4:$H$505,MATCH(D445,Base_Estudiantes!$C$4:$C$505,0)),"")</f>
        <v/>
      </c>
      <c r="K445" s="5"/>
      <c r="L445" s="5"/>
      <c r="M445" s="5"/>
      <c r="N445" s="5"/>
      <c r="O445" s="5"/>
      <c r="P445" s="5"/>
      <c r="Q445" s="5"/>
      <c r="R445" s="20"/>
      <c r="S445" s="5"/>
      <c r="T445" s="5"/>
    </row>
    <row r="446" spans="1:20" ht="15.75" customHeight="1">
      <c r="A446" s="19" t="str">
        <f t="shared" si="0"/>
        <v/>
      </c>
      <c r="B446" s="6"/>
      <c r="C446" s="20"/>
      <c r="D446" s="5"/>
      <c r="E446" s="7" t="str">
        <f t="array" ref="E446">IFERROR(INDEX(Base_Estudiantes!$A$4:$A$505,MATCH(D446,Base_Estudiantes!$C$4:$C$505,0)),"")</f>
        <v/>
      </c>
      <c r="F446" s="7" t="str">
        <f t="array" ref="F446">IFERROR(INDEX(Base_Estudiantes!$B$4:$B$505,MATCH(D446,Base_Estudiantes!$C$4:$C$505,0)),"")</f>
        <v/>
      </c>
      <c r="G446" s="7" t="str">
        <f t="array" ref="G446">IFERROR(INDEX(Base_Estudiantes!$D$4:$D$505,MATCH(D446,Base_Estudiantes!$C$4:$C$505,0)),"")</f>
        <v/>
      </c>
      <c r="H446" s="7" t="str">
        <f t="array" ref="H446">IFERROR(INDEX(Base_Estudiantes!$F$4:$F$505,MATCH(D446,Base_Estudiantes!$C$4:$C$505,0)),"")</f>
        <v/>
      </c>
      <c r="I446" s="7" t="str">
        <f t="array" ref="I446">IFERROR(INDEX(Base_Estudiantes!$G$4:$G$505,MATCH(D446,Base_Estudiantes!$C$4:$C$505,0)),"")</f>
        <v/>
      </c>
      <c r="J446" s="7" t="str">
        <f t="array" ref="J446">IFERROR(INDEX(Base_Estudiantes!$H$4:$H$505,MATCH(D446,Base_Estudiantes!$C$4:$C$505,0)),"")</f>
        <v/>
      </c>
      <c r="K446" s="5"/>
      <c r="L446" s="5"/>
      <c r="M446" s="5"/>
      <c r="N446" s="5"/>
      <c r="O446" s="5"/>
      <c r="P446" s="5"/>
      <c r="Q446" s="5"/>
      <c r="R446" s="20"/>
      <c r="S446" s="5"/>
      <c r="T446" s="5"/>
    </row>
    <row r="447" spans="1:20" ht="15.75" customHeight="1">
      <c r="A447" s="19" t="str">
        <f t="shared" si="0"/>
        <v/>
      </c>
      <c r="B447" s="6"/>
      <c r="C447" s="20"/>
      <c r="D447" s="5"/>
      <c r="E447" s="7" t="str">
        <f t="array" ref="E447">IFERROR(INDEX(Base_Estudiantes!$A$4:$A$505,MATCH(D447,Base_Estudiantes!$C$4:$C$505,0)),"")</f>
        <v/>
      </c>
      <c r="F447" s="7" t="str">
        <f t="array" ref="F447">IFERROR(INDEX(Base_Estudiantes!$B$4:$B$505,MATCH(D447,Base_Estudiantes!$C$4:$C$505,0)),"")</f>
        <v/>
      </c>
      <c r="G447" s="7" t="str">
        <f t="array" ref="G447">IFERROR(INDEX(Base_Estudiantes!$D$4:$D$505,MATCH(D447,Base_Estudiantes!$C$4:$C$505,0)),"")</f>
        <v/>
      </c>
      <c r="H447" s="7" t="str">
        <f t="array" ref="H447">IFERROR(INDEX(Base_Estudiantes!$F$4:$F$505,MATCH(D447,Base_Estudiantes!$C$4:$C$505,0)),"")</f>
        <v/>
      </c>
      <c r="I447" s="7" t="str">
        <f t="array" ref="I447">IFERROR(INDEX(Base_Estudiantes!$G$4:$G$505,MATCH(D447,Base_Estudiantes!$C$4:$C$505,0)),"")</f>
        <v/>
      </c>
      <c r="J447" s="7" t="str">
        <f t="array" ref="J447">IFERROR(INDEX(Base_Estudiantes!$H$4:$H$505,MATCH(D447,Base_Estudiantes!$C$4:$C$505,0)),"")</f>
        <v/>
      </c>
      <c r="K447" s="5"/>
      <c r="L447" s="5"/>
      <c r="M447" s="5"/>
      <c r="N447" s="5"/>
      <c r="O447" s="5"/>
      <c r="P447" s="5"/>
      <c r="Q447" s="5"/>
      <c r="R447" s="20"/>
      <c r="S447" s="5"/>
      <c r="T447" s="5"/>
    </row>
    <row r="448" spans="1:20" ht="15.75" customHeight="1">
      <c r="A448" s="19" t="str">
        <f t="shared" si="0"/>
        <v/>
      </c>
      <c r="B448" s="6"/>
      <c r="C448" s="20"/>
      <c r="D448" s="5"/>
      <c r="E448" s="7" t="str">
        <f t="array" ref="E448">IFERROR(INDEX(Base_Estudiantes!$A$4:$A$505,MATCH(D448,Base_Estudiantes!$C$4:$C$505,0)),"")</f>
        <v/>
      </c>
      <c r="F448" s="7" t="str">
        <f t="array" ref="F448">IFERROR(INDEX(Base_Estudiantes!$B$4:$B$505,MATCH(D448,Base_Estudiantes!$C$4:$C$505,0)),"")</f>
        <v/>
      </c>
      <c r="G448" s="7" t="str">
        <f t="array" ref="G448">IFERROR(INDEX(Base_Estudiantes!$D$4:$D$505,MATCH(D448,Base_Estudiantes!$C$4:$C$505,0)),"")</f>
        <v/>
      </c>
      <c r="H448" s="7" t="str">
        <f t="array" ref="H448">IFERROR(INDEX(Base_Estudiantes!$F$4:$F$505,MATCH(D448,Base_Estudiantes!$C$4:$C$505,0)),"")</f>
        <v/>
      </c>
      <c r="I448" s="7" t="str">
        <f t="array" ref="I448">IFERROR(INDEX(Base_Estudiantes!$G$4:$G$505,MATCH(D448,Base_Estudiantes!$C$4:$C$505,0)),"")</f>
        <v/>
      </c>
      <c r="J448" s="7" t="str">
        <f t="array" ref="J448">IFERROR(INDEX(Base_Estudiantes!$H$4:$H$505,MATCH(D448,Base_Estudiantes!$C$4:$C$505,0)),"")</f>
        <v/>
      </c>
      <c r="K448" s="5"/>
      <c r="L448" s="5"/>
      <c r="M448" s="5"/>
      <c r="N448" s="5"/>
      <c r="O448" s="5"/>
      <c r="P448" s="5"/>
      <c r="Q448" s="5"/>
      <c r="R448" s="20"/>
      <c r="S448" s="5"/>
      <c r="T448" s="5"/>
    </row>
    <row r="449" spans="1:20" ht="15.75" customHeight="1">
      <c r="A449" s="19" t="str">
        <f t="shared" si="0"/>
        <v/>
      </c>
      <c r="B449" s="6"/>
      <c r="C449" s="20"/>
      <c r="D449" s="5"/>
      <c r="E449" s="7" t="str">
        <f t="array" ref="E449">IFERROR(INDEX(Base_Estudiantes!$A$4:$A$505,MATCH(D449,Base_Estudiantes!$C$4:$C$505,0)),"")</f>
        <v/>
      </c>
      <c r="F449" s="7" t="str">
        <f t="array" ref="F449">IFERROR(INDEX(Base_Estudiantes!$B$4:$B$505,MATCH(D449,Base_Estudiantes!$C$4:$C$505,0)),"")</f>
        <v/>
      </c>
      <c r="G449" s="7" t="str">
        <f t="array" ref="G449">IFERROR(INDEX(Base_Estudiantes!$D$4:$D$505,MATCH(D449,Base_Estudiantes!$C$4:$C$505,0)),"")</f>
        <v/>
      </c>
      <c r="H449" s="7" t="str">
        <f t="array" ref="H449">IFERROR(INDEX(Base_Estudiantes!$F$4:$F$505,MATCH(D449,Base_Estudiantes!$C$4:$C$505,0)),"")</f>
        <v/>
      </c>
      <c r="I449" s="7" t="str">
        <f t="array" ref="I449">IFERROR(INDEX(Base_Estudiantes!$G$4:$G$505,MATCH(D449,Base_Estudiantes!$C$4:$C$505,0)),"")</f>
        <v/>
      </c>
      <c r="J449" s="7" t="str">
        <f t="array" ref="J449">IFERROR(INDEX(Base_Estudiantes!$H$4:$H$505,MATCH(D449,Base_Estudiantes!$C$4:$C$505,0)),"")</f>
        <v/>
      </c>
      <c r="K449" s="5"/>
      <c r="L449" s="5"/>
      <c r="M449" s="5"/>
      <c r="N449" s="5"/>
      <c r="O449" s="5"/>
      <c r="P449" s="5"/>
      <c r="Q449" s="5"/>
      <c r="R449" s="20"/>
      <c r="S449" s="5"/>
      <c r="T449" s="5"/>
    </row>
    <row r="450" spans="1:20" ht="15.75" customHeight="1">
      <c r="A450" s="19" t="str">
        <f t="shared" si="0"/>
        <v/>
      </c>
      <c r="B450" s="6"/>
      <c r="C450" s="20"/>
      <c r="D450" s="5"/>
      <c r="E450" s="7" t="str">
        <f t="array" ref="E450">IFERROR(INDEX(Base_Estudiantes!$A$4:$A$505,MATCH(D450,Base_Estudiantes!$C$4:$C$505,0)),"")</f>
        <v/>
      </c>
      <c r="F450" s="7" t="str">
        <f t="array" ref="F450">IFERROR(INDEX(Base_Estudiantes!$B$4:$B$505,MATCH(D450,Base_Estudiantes!$C$4:$C$505,0)),"")</f>
        <v/>
      </c>
      <c r="G450" s="7" t="str">
        <f t="array" ref="G450">IFERROR(INDEX(Base_Estudiantes!$D$4:$D$505,MATCH(D450,Base_Estudiantes!$C$4:$C$505,0)),"")</f>
        <v/>
      </c>
      <c r="H450" s="7" t="str">
        <f t="array" ref="H450">IFERROR(INDEX(Base_Estudiantes!$F$4:$F$505,MATCH(D450,Base_Estudiantes!$C$4:$C$505,0)),"")</f>
        <v/>
      </c>
      <c r="I450" s="7" t="str">
        <f t="array" ref="I450">IFERROR(INDEX(Base_Estudiantes!$G$4:$G$505,MATCH(D450,Base_Estudiantes!$C$4:$C$505,0)),"")</f>
        <v/>
      </c>
      <c r="J450" s="7" t="str">
        <f t="array" ref="J450">IFERROR(INDEX(Base_Estudiantes!$H$4:$H$505,MATCH(D450,Base_Estudiantes!$C$4:$C$505,0)),"")</f>
        <v/>
      </c>
      <c r="K450" s="5"/>
      <c r="L450" s="5"/>
      <c r="M450" s="5"/>
      <c r="N450" s="5"/>
      <c r="O450" s="5"/>
      <c r="P450" s="5"/>
      <c r="Q450" s="5"/>
      <c r="R450" s="20"/>
      <c r="S450" s="5"/>
      <c r="T450" s="5"/>
    </row>
    <row r="451" spans="1:20" ht="15.75" customHeight="1">
      <c r="A451" s="19" t="str">
        <f t="shared" si="0"/>
        <v/>
      </c>
      <c r="B451" s="6"/>
      <c r="C451" s="20"/>
      <c r="D451" s="5"/>
      <c r="E451" s="7" t="str">
        <f t="array" ref="E451">IFERROR(INDEX(Base_Estudiantes!$A$4:$A$505,MATCH(D451,Base_Estudiantes!$C$4:$C$505,0)),"")</f>
        <v/>
      </c>
      <c r="F451" s="7" t="str">
        <f t="array" ref="F451">IFERROR(INDEX(Base_Estudiantes!$B$4:$B$505,MATCH(D451,Base_Estudiantes!$C$4:$C$505,0)),"")</f>
        <v/>
      </c>
      <c r="G451" s="7" t="str">
        <f t="array" ref="G451">IFERROR(INDEX(Base_Estudiantes!$D$4:$D$505,MATCH(D451,Base_Estudiantes!$C$4:$C$505,0)),"")</f>
        <v/>
      </c>
      <c r="H451" s="7" t="str">
        <f t="array" ref="H451">IFERROR(INDEX(Base_Estudiantes!$F$4:$F$505,MATCH(D451,Base_Estudiantes!$C$4:$C$505,0)),"")</f>
        <v/>
      </c>
      <c r="I451" s="7" t="str">
        <f t="array" ref="I451">IFERROR(INDEX(Base_Estudiantes!$G$4:$G$505,MATCH(D451,Base_Estudiantes!$C$4:$C$505,0)),"")</f>
        <v/>
      </c>
      <c r="J451" s="7" t="str">
        <f t="array" ref="J451">IFERROR(INDEX(Base_Estudiantes!$H$4:$H$505,MATCH(D451,Base_Estudiantes!$C$4:$C$505,0)),"")</f>
        <v/>
      </c>
      <c r="K451" s="5"/>
      <c r="L451" s="5"/>
      <c r="M451" s="5"/>
      <c r="N451" s="5"/>
      <c r="O451" s="5"/>
      <c r="P451" s="5"/>
      <c r="Q451" s="5"/>
      <c r="R451" s="20"/>
      <c r="S451" s="5"/>
      <c r="T451" s="5"/>
    </row>
    <row r="452" spans="1:20" ht="15.75" customHeight="1">
      <c r="A452" s="19" t="str">
        <f t="shared" si="0"/>
        <v/>
      </c>
      <c r="B452" s="6"/>
      <c r="C452" s="20"/>
      <c r="D452" s="5"/>
      <c r="E452" s="7" t="str">
        <f t="array" ref="E452">IFERROR(INDEX(Base_Estudiantes!$A$4:$A$505,MATCH(D452,Base_Estudiantes!$C$4:$C$505,0)),"")</f>
        <v/>
      </c>
      <c r="F452" s="7" t="str">
        <f t="array" ref="F452">IFERROR(INDEX(Base_Estudiantes!$B$4:$B$505,MATCH(D452,Base_Estudiantes!$C$4:$C$505,0)),"")</f>
        <v/>
      </c>
      <c r="G452" s="7" t="str">
        <f t="array" ref="G452">IFERROR(INDEX(Base_Estudiantes!$D$4:$D$505,MATCH(D452,Base_Estudiantes!$C$4:$C$505,0)),"")</f>
        <v/>
      </c>
      <c r="H452" s="7" t="str">
        <f t="array" ref="H452">IFERROR(INDEX(Base_Estudiantes!$F$4:$F$505,MATCH(D452,Base_Estudiantes!$C$4:$C$505,0)),"")</f>
        <v/>
      </c>
      <c r="I452" s="7" t="str">
        <f t="array" ref="I452">IFERROR(INDEX(Base_Estudiantes!$G$4:$G$505,MATCH(D452,Base_Estudiantes!$C$4:$C$505,0)),"")</f>
        <v/>
      </c>
      <c r="J452" s="7" t="str">
        <f t="array" ref="J452">IFERROR(INDEX(Base_Estudiantes!$H$4:$H$505,MATCH(D452,Base_Estudiantes!$C$4:$C$505,0)),"")</f>
        <v/>
      </c>
      <c r="K452" s="5"/>
      <c r="L452" s="5"/>
      <c r="M452" s="5"/>
      <c r="N452" s="5"/>
      <c r="O452" s="5"/>
      <c r="P452" s="5"/>
      <c r="Q452" s="5"/>
      <c r="R452" s="20"/>
      <c r="S452" s="5"/>
      <c r="T452" s="5"/>
    </row>
    <row r="453" spans="1:20" ht="15.75" customHeight="1">
      <c r="A453" s="19" t="str">
        <f t="shared" si="0"/>
        <v/>
      </c>
      <c r="B453" s="6"/>
      <c r="C453" s="20"/>
      <c r="D453" s="5"/>
      <c r="E453" s="7" t="str">
        <f t="array" ref="E453">IFERROR(INDEX(Base_Estudiantes!$A$4:$A$505,MATCH(D453,Base_Estudiantes!$C$4:$C$505,0)),"")</f>
        <v/>
      </c>
      <c r="F453" s="7" t="str">
        <f t="array" ref="F453">IFERROR(INDEX(Base_Estudiantes!$B$4:$B$505,MATCH(D453,Base_Estudiantes!$C$4:$C$505,0)),"")</f>
        <v/>
      </c>
      <c r="G453" s="7" t="str">
        <f t="array" ref="G453">IFERROR(INDEX(Base_Estudiantes!$D$4:$D$505,MATCH(D453,Base_Estudiantes!$C$4:$C$505,0)),"")</f>
        <v/>
      </c>
      <c r="H453" s="7" t="str">
        <f t="array" ref="H453">IFERROR(INDEX(Base_Estudiantes!$F$4:$F$505,MATCH(D453,Base_Estudiantes!$C$4:$C$505,0)),"")</f>
        <v/>
      </c>
      <c r="I453" s="7" t="str">
        <f t="array" ref="I453">IFERROR(INDEX(Base_Estudiantes!$G$4:$G$505,MATCH(D453,Base_Estudiantes!$C$4:$C$505,0)),"")</f>
        <v/>
      </c>
      <c r="J453" s="7" t="str">
        <f t="array" ref="J453">IFERROR(INDEX(Base_Estudiantes!$H$4:$H$505,MATCH(D453,Base_Estudiantes!$C$4:$C$505,0)),"")</f>
        <v/>
      </c>
      <c r="K453" s="5"/>
      <c r="L453" s="5"/>
      <c r="M453" s="5"/>
      <c r="N453" s="5"/>
      <c r="O453" s="5"/>
      <c r="P453" s="5"/>
      <c r="Q453" s="5"/>
      <c r="R453" s="20"/>
      <c r="S453" s="5"/>
      <c r="T453" s="5"/>
    </row>
    <row r="454" spans="1:20" ht="15.75" customHeight="1">
      <c r="A454" s="19" t="str">
        <f t="shared" si="0"/>
        <v/>
      </c>
      <c r="B454" s="6"/>
      <c r="C454" s="20"/>
      <c r="D454" s="5"/>
      <c r="E454" s="7" t="str">
        <f t="array" ref="E454">IFERROR(INDEX(Base_Estudiantes!$A$4:$A$505,MATCH(D454,Base_Estudiantes!$C$4:$C$505,0)),"")</f>
        <v/>
      </c>
      <c r="F454" s="7" t="str">
        <f t="array" ref="F454">IFERROR(INDEX(Base_Estudiantes!$B$4:$B$505,MATCH(D454,Base_Estudiantes!$C$4:$C$505,0)),"")</f>
        <v/>
      </c>
      <c r="G454" s="7" t="str">
        <f t="array" ref="G454">IFERROR(INDEX(Base_Estudiantes!$D$4:$D$505,MATCH(D454,Base_Estudiantes!$C$4:$C$505,0)),"")</f>
        <v/>
      </c>
      <c r="H454" s="7" t="str">
        <f t="array" ref="H454">IFERROR(INDEX(Base_Estudiantes!$F$4:$F$505,MATCH(D454,Base_Estudiantes!$C$4:$C$505,0)),"")</f>
        <v/>
      </c>
      <c r="I454" s="7" t="str">
        <f t="array" ref="I454">IFERROR(INDEX(Base_Estudiantes!$G$4:$G$505,MATCH(D454,Base_Estudiantes!$C$4:$C$505,0)),"")</f>
        <v/>
      </c>
      <c r="J454" s="7" t="str">
        <f t="array" ref="J454">IFERROR(INDEX(Base_Estudiantes!$H$4:$H$505,MATCH(D454,Base_Estudiantes!$C$4:$C$505,0)),"")</f>
        <v/>
      </c>
      <c r="K454" s="5"/>
      <c r="L454" s="5"/>
      <c r="M454" s="5"/>
      <c r="N454" s="5"/>
      <c r="O454" s="5"/>
      <c r="P454" s="5"/>
      <c r="Q454" s="5"/>
      <c r="R454" s="20"/>
      <c r="S454" s="5"/>
      <c r="T454" s="5"/>
    </row>
    <row r="455" spans="1:20" ht="15.75" customHeight="1">
      <c r="A455" s="19" t="str">
        <f t="shared" si="0"/>
        <v/>
      </c>
      <c r="B455" s="6"/>
      <c r="C455" s="20"/>
      <c r="D455" s="5"/>
      <c r="E455" s="7" t="str">
        <f t="array" ref="E455">IFERROR(INDEX(Base_Estudiantes!$A$4:$A$505,MATCH(D455,Base_Estudiantes!$C$4:$C$505,0)),"")</f>
        <v/>
      </c>
      <c r="F455" s="7" t="str">
        <f t="array" ref="F455">IFERROR(INDEX(Base_Estudiantes!$B$4:$B$505,MATCH(D455,Base_Estudiantes!$C$4:$C$505,0)),"")</f>
        <v/>
      </c>
      <c r="G455" s="7" t="str">
        <f t="array" ref="G455">IFERROR(INDEX(Base_Estudiantes!$D$4:$D$505,MATCH(D455,Base_Estudiantes!$C$4:$C$505,0)),"")</f>
        <v/>
      </c>
      <c r="H455" s="7" t="str">
        <f t="array" ref="H455">IFERROR(INDEX(Base_Estudiantes!$F$4:$F$505,MATCH(D455,Base_Estudiantes!$C$4:$C$505,0)),"")</f>
        <v/>
      </c>
      <c r="I455" s="7" t="str">
        <f t="array" ref="I455">IFERROR(INDEX(Base_Estudiantes!$G$4:$G$505,MATCH(D455,Base_Estudiantes!$C$4:$C$505,0)),"")</f>
        <v/>
      </c>
      <c r="J455" s="7" t="str">
        <f t="array" ref="J455">IFERROR(INDEX(Base_Estudiantes!$H$4:$H$505,MATCH(D455,Base_Estudiantes!$C$4:$C$505,0)),"")</f>
        <v/>
      </c>
      <c r="K455" s="5"/>
      <c r="L455" s="5"/>
      <c r="M455" s="5"/>
      <c r="N455" s="5"/>
      <c r="O455" s="5"/>
      <c r="P455" s="5"/>
      <c r="Q455" s="5"/>
      <c r="R455" s="20"/>
      <c r="S455" s="5"/>
      <c r="T455" s="5"/>
    </row>
    <row r="456" spans="1:20" ht="15.75" customHeight="1">
      <c r="A456" s="19" t="str">
        <f t="shared" si="0"/>
        <v/>
      </c>
      <c r="B456" s="6"/>
      <c r="C456" s="20"/>
      <c r="D456" s="5"/>
      <c r="E456" s="7" t="str">
        <f t="array" ref="E456">IFERROR(INDEX(Base_Estudiantes!$A$4:$A$505,MATCH(D456,Base_Estudiantes!$C$4:$C$505,0)),"")</f>
        <v/>
      </c>
      <c r="F456" s="7" t="str">
        <f t="array" ref="F456">IFERROR(INDEX(Base_Estudiantes!$B$4:$B$505,MATCH(D456,Base_Estudiantes!$C$4:$C$505,0)),"")</f>
        <v/>
      </c>
      <c r="G456" s="7" t="str">
        <f t="array" ref="G456">IFERROR(INDEX(Base_Estudiantes!$D$4:$D$505,MATCH(D456,Base_Estudiantes!$C$4:$C$505,0)),"")</f>
        <v/>
      </c>
      <c r="H456" s="7" t="str">
        <f t="array" ref="H456">IFERROR(INDEX(Base_Estudiantes!$F$4:$F$505,MATCH(D456,Base_Estudiantes!$C$4:$C$505,0)),"")</f>
        <v/>
      </c>
      <c r="I456" s="7" t="str">
        <f t="array" ref="I456">IFERROR(INDEX(Base_Estudiantes!$G$4:$G$505,MATCH(D456,Base_Estudiantes!$C$4:$C$505,0)),"")</f>
        <v/>
      </c>
      <c r="J456" s="7" t="str">
        <f t="array" ref="J456">IFERROR(INDEX(Base_Estudiantes!$H$4:$H$505,MATCH(D456,Base_Estudiantes!$C$4:$C$505,0)),"")</f>
        <v/>
      </c>
      <c r="K456" s="5"/>
      <c r="L456" s="5"/>
      <c r="M456" s="5"/>
      <c r="N456" s="5"/>
      <c r="O456" s="5"/>
      <c r="P456" s="5"/>
      <c r="Q456" s="5"/>
      <c r="R456" s="20"/>
      <c r="S456" s="5"/>
      <c r="T456" s="5"/>
    </row>
    <row r="457" spans="1:20" ht="15.75" customHeight="1">
      <c r="A457" s="19" t="str">
        <f t="shared" si="0"/>
        <v/>
      </c>
      <c r="B457" s="6"/>
      <c r="C457" s="20"/>
      <c r="D457" s="5"/>
      <c r="E457" s="7" t="str">
        <f t="array" ref="E457">IFERROR(INDEX(Base_Estudiantes!$A$4:$A$505,MATCH(D457,Base_Estudiantes!$C$4:$C$505,0)),"")</f>
        <v/>
      </c>
      <c r="F457" s="7" t="str">
        <f t="array" ref="F457">IFERROR(INDEX(Base_Estudiantes!$B$4:$B$505,MATCH(D457,Base_Estudiantes!$C$4:$C$505,0)),"")</f>
        <v/>
      </c>
      <c r="G457" s="7" t="str">
        <f t="array" ref="G457">IFERROR(INDEX(Base_Estudiantes!$D$4:$D$505,MATCH(D457,Base_Estudiantes!$C$4:$C$505,0)),"")</f>
        <v/>
      </c>
      <c r="H457" s="7" t="str">
        <f t="array" ref="H457">IFERROR(INDEX(Base_Estudiantes!$F$4:$F$505,MATCH(D457,Base_Estudiantes!$C$4:$C$505,0)),"")</f>
        <v/>
      </c>
      <c r="I457" s="7" t="str">
        <f t="array" ref="I457">IFERROR(INDEX(Base_Estudiantes!$G$4:$G$505,MATCH(D457,Base_Estudiantes!$C$4:$C$505,0)),"")</f>
        <v/>
      </c>
      <c r="J457" s="7" t="str">
        <f t="array" ref="J457">IFERROR(INDEX(Base_Estudiantes!$H$4:$H$505,MATCH(D457,Base_Estudiantes!$C$4:$C$505,0)),"")</f>
        <v/>
      </c>
      <c r="K457" s="5"/>
      <c r="L457" s="5"/>
      <c r="M457" s="5"/>
      <c r="N457" s="5"/>
      <c r="O457" s="5"/>
      <c r="P457" s="5"/>
      <c r="Q457" s="5"/>
      <c r="R457" s="20"/>
      <c r="S457" s="5"/>
      <c r="T457" s="5"/>
    </row>
    <row r="458" spans="1:20" ht="15.75" customHeight="1">
      <c r="A458" s="19" t="str">
        <f t="shared" si="0"/>
        <v/>
      </c>
      <c r="B458" s="6"/>
      <c r="C458" s="20"/>
      <c r="D458" s="5"/>
      <c r="E458" s="7" t="str">
        <f t="array" ref="E458">IFERROR(INDEX(Base_Estudiantes!$A$4:$A$505,MATCH(D458,Base_Estudiantes!$C$4:$C$505,0)),"")</f>
        <v/>
      </c>
      <c r="F458" s="7" t="str">
        <f t="array" ref="F458">IFERROR(INDEX(Base_Estudiantes!$B$4:$B$505,MATCH(D458,Base_Estudiantes!$C$4:$C$505,0)),"")</f>
        <v/>
      </c>
      <c r="G458" s="7" t="str">
        <f t="array" ref="G458">IFERROR(INDEX(Base_Estudiantes!$D$4:$D$505,MATCH(D458,Base_Estudiantes!$C$4:$C$505,0)),"")</f>
        <v/>
      </c>
      <c r="H458" s="7" t="str">
        <f t="array" ref="H458">IFERROR(INDEX(Base_Estudiantes!$F$4:$F$505,MATCH(D458,Base_Estudiantes!$C$4:$C$505,0)),"")</f>
        <v/>
      </c>
      <c r="I458" s="7" t="str">
        <f t="array" ref="I458">IFERROR(INDEX(Base_Estudiantes!$G$4:$G$505,MATCH(D458,Base_Estudiantes!$C$4:$C$505,0)),"")</f>
        <v/>
      </c>
      <c r="J458" s="7" t="str">
        <f t="array" ref="J458">IFERROR(INDEX(Base_Estudiantes!$H$4:$H$505,MATCH(D458,Base_Estudiantes!$C$4:$C$505,0)),"")</f>
        <v/>
      </c>
      <c r="K458" s="5"/>
      <c r="L458" s="5"/>
      <c r="M458" s="5"/>
      <c r="N458" s="5"/>
      <c r="O458" s="5"/>
      <c r="P458" s="5"/>
      <c r="Q458" s="5"/>
      <c r="R458" s="20"/>
      <c r="S458" s="5"/>
      <c r="T458" s="5"/>
    </row>
    <row r="459" spans="1:20" ht="15.75" customHeight="1">
      <c r="A459" s="19" t="str">
        <f t="shared" si="0"/>
        <v/>
      </c>
      <c r="B459" s="6"/>
      <c r="C459" s="20"/>
      <c r="D459" s="5"/>
      <c r="E459" s="7" t="str">
        <f t="array" ref="E459">IFERROR(INDEX(Base_Estudiantes!$A$4:$A$505,MATCH(D459,Base_Estudiantes!$C$4:$C$505,0)),"")</f>
        <v/>
      </c>
      <c r="F459" s="7" t="str">
        <f t="array" ref="F459">IFERROR(INDEX(Base_Estudiantes!$B$4:$B$505,MATCH(D459,Base_Estudiantes!$C$4:$C$505,0)),"")</f>
        <v/>
      </c>
      <c r="G459" s="7" t="str">
        <f t="array" ref="G459">IFERROR(INDEX(Base_Estudiantes!$D$4:$D$505,MATCH(D459,Base_Estudiantes!$C$4:$C$505,0)),"")</f>
        <v/>
      </c>
      <c r="H459" s="7" t="str">
        <f t="array" ref="H459">IFERROR(INDEX(Base_Estudiantes!$F$4:$F$505,MATCH(D459,Base_Estudiantes!$C$4:$C$505,0)),"")</f>
        <v/>
      </c>
      <c r="I459" s="7" t="str">
        <f t="array" ref="I459">IFERROR(INDEX(Base_Estudiantes!$G$4:$G$505,MATCH(D459,Base_Estudiantes!$C$4:$C$505,0)),"")</f>
        <v/>
      </c>
      <c r="J459" s="7" t="str">
        <f t="array" ref="J459">IFERROR(INDEX(Base_Estudiantes!$H$4:$H$505,MATCH(D459,Base_Estudiantes!$C$4:$C$505,0)),"")</f>
        <v/>
      </c>
      <c r="K459" s="5"/>
      <c r="L459" s="5"/>
      <c r="M459" s="5"/>
      <c r="N459" s="5"/>
      <c r="O459" s="5"/>
      <c r="P459" s="5"/>
      <c r="Q459" s="5"/>
      <c r="R459" s="20"/>
      <c r="S459" s="5"/>
      <c r="T459" s="5"/>
    </row>
    <row r="460" spans="1:20" ht="15.75" customHeight="1">
      <c r="A460" s="19" t="str">
        <f t="shared" si="0"/>
        <v/>
      </c>
      <c r="B460" s="6"/>
      <c r="C460" s="20"/>
      <c r="D460" s="5"/>
      <c r="E460" s="7" t="str">
        <f t="array" ref="E460">IFERROR(INDEX(Base_Estudiantes!$A$4:$A$505,MATCH(D460,Base_Estudiantes!$C$4:$C$505,0)),"")</f>
        <v/>
      </c>
      <c r="F460" s="7" t="str">
        <f t="array" ref="F460">IFERROR(INDEX(Base_Estudiantes!$B$4:$B$505,MATCH(D460,Base_Estudiantes!$C$4:$C$505,0)),"")</f>
        <v/>
      </c>
      <c r="G460" s="7" t="str">
        <f t="array" ref="G460">IFERROR(INDEX(Base_Estudiantes!$D$4:$D$505,MATCH(D460,Base_Estudiantes!$C$4:$C$505,0)),"")</f>
        <v/>
      </c>
      <c r="H460" s="7" t="str">
        <f t="array" ref="H460">IFERROR(INDEX(Base_Estudiantes!$F$4:$F$505,MATCH(D460,Base_Estudiantes!$C$4:$C$505,0)),"")</f>
        <v/>
      </c>
      <c r="I460" s="7" t="str">
        <f t="array" ref="I460">IFERROR(INDEX(Base_Estudiantes!$G$4:$G$505,MATCH(D460,Base_Estudiantes!$C$4:$C$505,0)),"")</f>
        <v/>
      </c>
      <c r="J460" s="7" t="str">
        <f t="array" ref="J460">IFERROR(INDEX(Base_Estudiantes!$H$4:$H$505,MATCH(D460,Base_Estudiantes!$C$4:$C$505,0)),"")</f>
        <v/>
      </c>
      <c r="K460" s="5"/>
      <c r="L460" s="5"/>
      <c r="M460" s="5"/>
      <c r="N460" s="5"/>
      <c r="O460" s="5"/>
      <c r="P460" s="5"/>
      <c r="Q460" s="5"/>
      <c r="R460" s="20"/>
      <c r="S460" s="5"/>
      <c r="T460" s="5"/>
    </row>
    <row r="461" spans="1:20" ht="15.75" customHeight="1">
      <c r="A461" s="19" t="str">
        <f t="shared" si="0"/>
        <v/>
      </c>
      <c r="B461" s="6"/>
      <c r="C461" s="20"/>
      <c r="D461" s="5"/>
      <c r="E461" s="7" t="str">
        <f t="array" ref="E461">IFERROR(INDEX(Base_Estudiantes!$A$4:$A$505,MATCH(D461,Base_Estudiantes!$C$4:$C$505,0)),"")</f>
        <v/>
      </c>
      <c r="F461" s="7" t="str">
        <f t="array" ref="F461">IFERROR(INDEX(Base_Estudiantes!$B$4:$B$505,MATCH(D461,Base_Estudiantes!$C$4:$C$505,0)),"")</f>
        <v/>
      </c>
      <c r="G461" s="7" t="str">
        <f t="array" ref="G461">IFERROR(INDEX(Base_Estudiantes!$D$4:$D$505,MATCH(D461,Base_Estudiantes!$C$4:$C$505,0)),"")</f>
        <v/>
      </c>
      <c r="H461" s="7" t="str">
        <f t="array" ref="H461">IFERROR(INDEX(Base_Estudiantes!$F$4:$F$505,MATCH(D461,Base_Estudiantes!$C$4:$C$505,0)),"")</f>
        <v/>
      </c>
      <c r="I461" s="7" t="str">
        <f t="array" ref="I461">IFERROR(INDEX(Base_Estudiantes!$G$4:$G$505,MATCH(D461,Base_Estudiantes!$C$4:$C$505,0)),"")</f>
        <v/>
      </c>
      <c r="J461" s="7" t="str">
        <f t="array" ref="J461">IFERROR(INDEX(Base_Estudiantes!$H$4:$H$505,MATCH(D461,Base_Estudiantes!$C$4:$C$505,0)),"")</f>
        <v/>
      </c>
      <c r="K461" s="5"/>
      <c r="L461" s="5"/>
      <c r="M461" s="5"/>
      <c r="N461" s="5"/>
      <c r="O461" s="5"/>
      <c r="P461" s="5"/>
      <c r="Q461" s="5"/>
      <c r="R461" s="20"/>
      <c r="S461" s="5"/>
      <c r="T461" s="5"/>
    </row>
    <row r="462" spans="1:20" ht="15.75" customHeight="1">
      <c r="A462" s="19" t="str">
        <f t="shared" si="0"/>
        <v/>
      </c>
      <c r="B462" s="6"/>
      <c r="C462" s="20"/>
      <c r="D462" s="5"/>
      <c r="E462" s="7" t="str">
        <f t="array" ref="E462">IFERROR(INDEX(Base_Estudiantes!$A$4:$A$505,MATCH(D462,Base_Estudiantes!$C$4:$C$505,0)),"")</f>
        <v/>
      </c>
      <c r="F462" s="7" t="str">
        <f t="array" ref="F462">IFERROR(INDEX(Base_Estudiantes!$B$4:$B$505,MATCH(D462,Base_Estudiantes!$C$4:$C$505,0)),"")</f>
        <v/>
      </c>
      <c r="G462" s="7" t="str">
        <f t="array" ref="G462">IFERROR(INDEX(Base_Estudiantes!$D$4:$D$505,MATCH(D462,Base_Estudiantes!$C$4:$C$505,0)),"")</f>
        <v/>
      </c>
      <c r="H462" s="7" t="str">
        <f t="array" ref="H462">IFERROR(INDEX(Base_Estudiantes!$F$4:$F$505,MATCH(D462,Base_Estudiantes!$C$4:$C$505,0)),"")</f>
        <v/>
      </c>
      <c r="I462" s="7" t="str">
        <f t="array" ref="I462">IFERROR(INDEX(Base_Estudiantes!$G$4:$G$505,MATCH(D462,Base_Estudiantes!$C$4:$C$505,0)),"")</f>
        <v/>
      </c>
      <c r="J462" s="7" t="str">
        <f t="array" ref="J462">IFERROR(INDEX(Base_Estudiantes!$H$4:$H$505,MATCH(D462,Base_Estudiantes!$C$4:$C$505,0)),"")</f>
        <v/>
      </c>
      <c r="K462" s="5"/>
      <c r="L462" s="5"/>
      <c r="M462" s="5"/>
      <c r="N462" s="5"/>
      <c r="O462" s="5"/>
      <c r="P462" s="5"/>
      <c r="Q462" s="5"/>
      <c r="R462" s="20"/>
      <c r="S462" s="5"/>
      <c r="T462" s="5"/>
    </row>
    <row r="463" spans="1:20" ht="15.75" customHeight="1">
      <c r="A463" s="19" t="str">
        <f t="shared" si="0"/>
        <v/>
      </c>
      <c r="B463" s="6"/>
      <c r="C463" s="20"/>
      <c r="D463" s="5"/>
      <c r="E463" s="7" t="str">
        <f t="array" ref="E463">IFERROR(INDEX(Base_Estudiantes!$A$4:$A$505,MATCH(D463,Base_Estudiantes!$C$4:$C$505,0)),"")</f>
        <v/>
      </c>
      <c r="F463" s="7" t="str">
        <f t="array" ref="F463">IFERROR(INDEX(Base_Estudiantes!$B$4:$B$505,MATCH(D463,Base_Estudiantes!$C$4:$C$505,0)),"")</f>
        <v/>
      </c>
      <c r="G463" s="7" t="str">
        <f t="array" ref="G463">IFERROR(INDEX(Base_Estudiantes!$D$4:$D$505,MATCH(D463,Base_Estudiantes!$C$4:$C$505,0)),"")</f>
        <v/>
      </c>
      <c r="H463" s="7" t="str">
        <f t="array" ref="H463">IFERROR(INDEX(Base_Estudiantes!$F$4:$F$505,MATCH(D463,Base_Estudiantes!$C$4:$C$505,0)),"")</f>
        <v/>
      </c>
      <c r="I463" s="7" t="str">
        <f t="array" ref="I463">IFERROR(INDEX(Base_Estudiantes!$G$4:$G$505,MATCH(D463,Base_Estudiantes!$C$4:$C$505,0)),"")</f>
        <v/>
      </c>
      <c r="J463" s="7" t="str">
        <f t="array" ref="J463">IFERROR(INDEX(Base_Estudiantes!$H$4:$H$505,MATCH(D463,Base_Estudiantes!$C$4:$C$505,0)),"")</f>
        <v/>
      </c>
      <c r="K463" s="5"/>
      <c r="L463" s="5"/>
      <c r="M463" s="5"/>
      <c r="N463" s="5"/>
      <c r="O463" s="5"/>
      <c r="P463" s="5"/>
      <c r="Q463" s="5"/>
      <c r="R463" s="20"/>
      <c r="S463" s="5"/>
      <c r="T463" s="5"/>
    </row>
    <row r="464" spans="1:20" ht="15.75" customHeight="1">
      <c r="A464" s="19" t="str">
        <f t="shared" si="0"/>
        <v/>
      </c>
      <c r="B464" s="6"/>
      <c r="C464" s="20"/>
      <c r="D464" s="5"/>
      <c r="E464" s="7" t="str">
        <f t="array" ref="E464">IFERROR(INDEX(Base_Estudiantes!$A$4:$A$505,MATCH(D464,Base_Estudiantes!$C$4:$C$505,0)),"")</f>
        <v/>
      </c>
      <c r="F464" s="7" t="str">
        <f t="array" ref="F464">IFERROR(INDEX(Base_Estudiantes!$B$4:$B$505,MATCH(D464,Base_Estudiantes!$C$4:$C$505,0)),"")</f>
        <v/>
      </c>
      <c r="G464" s="7" t="str">
        <f t="array" ref="G464">IFERROR(INDEX(Base_Estudiantes!$D$4:$D$505,MATCH(D464,Base_Estudiantes!$C$4:$C$505,0)),"")</f>
        <v/>
      </c>
      <c r="H464" s="7" t="str">
        <f t="array" ref="H464">IFERROR(INDEX(Base_Estudiantes!$F$4:$F$505,MATCH(D464,Base_Estudiantes!$C$4:$C$505,0)),"")</f>
        <v/>
      </c>
      <c r="I464" s="7" t="str">
        <f t="array" ref="I464">IFERROR(INDEX(Base_Estudiantes!$G$4:$G$505,MATCH(D464,Base_Estudiantes!$C$4:$C$505,0)),"")</f>
        <v/>
      </c>
      <c r="J464" s="7" t="str">
        <f t="array" ref="J464">IFERROR(INDEX(Base_Estudiantes!$H$4:$H$505,MATCH(D464,Base_Estudiantes!$C$4:$C$505,0)),"")</f>
        <v/>
      </c>
      <c r="K464" s="5"/>
      <c r="L464" s="5"/>
      <c r="M464" s="5"/>
      <c r="N464" s="5"/>
      <c r="O464" s="5"/>
      <c r="P464" s="5"/>
      <c r="Q464" s="5"/>
      <c r="R464" s="20"/>
      <c r="S464" s="5"/>
      <c r="T464" s="5"/>
    </row>
    <row r="465" spans="1:20" ht="15.75" customHeight="1">
      <c r="A465" s="19" t="str">
        <f t="shared" si="0"/>
        <v/>
      </c>
      <c r="B465" s="6"/>
      <c r="C465" s="20"/>
      <c r="D465" s="5"/>
      <c r="E465" s="7" t="str">
        <f t="array" ref="E465">IFERROR(INDEX(Base_Estudiantes!$A$4:$A$505,MATCH(D465,Base_Estudiantes!$C$4:$C$505,0)),"")</f>
        <v/>
      </c>
      <c r="F465" s="7" t="str">
        <f t="array" ref="F465">IFERROR(INDEX(Base_Estudiantes!$B$4:$B$505,MATCH(D465,Base_Estudiantes!$C$4:$C$505,0)),"")</f>
        <v/>
      </c>
      <c r="G465" s="7" t="str">
        <f t="array" ref="G465">IFERROR(INDEX(Base_Estudiantes!$D$4:$D$505,MATCH(D465,Base_Estudiantes!$C$4:$C$505,0)),"")</f>
        <v/>
      </c>
      <c r="H465" s="7" t="str">
        <f t="array" ref="H465">IFERROR(INDEX(Base_Estudiantes!$F$4:$F$505,MATCH(D465,Base_Estudiantes!$C$4:$C$505,0)),"")</f>
        <v/>
      </c>
      <c r="I465" s="7" t="str">
        <f t="array" ref="I465">IFERROR(INDEX(Base_Estudiantes!$G$4:$G$505,MATCH(D465,Base_Estudiantes!$C$4:$C$505,0)),"")</f>
        <v/>
      </c>
      <c r="J465" s="7" t="str">
        <f t="array" ref="J465">IFERROR(INDEX(Base_Estudiantes!$H$4:$H$505,MATCH(D465,Base_Estudiantes!$C$4:$C$505,0)),"")</f>
        <v/>
      </c>
      <c r="K465" s="5"/>
      <c r="L465" s="5"/>
      <c r="M465" s="5"/>
      <c r="N465" s="5"/>
      <c r="O465" s="5"/>
      <c r="P465" s="5"/>
      <c r="Q465" s="5"/>
      <c r="R465" s="20"/>
      <c r="S465" s="5"/>
      <c r="T465" s="5"/>
    </row>
    <row r="466" spans="1:20" ht="15.75" customHeight="1">
      <c r="A466" s="19" t="str">
        <f t="shared" si="0"/>
        <v/>
      </c>
      <c r="B466" s="6"/>
      <c r="C466" s="20"/>
      <c r="D466" s="5"/>
      <c r="E466" s="7" t="str">
        <f t="array" ref="E466">IFERROR(INDEX(Base_Estudiantes!$A$4:$A$505,MATCH(D466,Base_Estudiantes!$C$4:$C$505,0)),"")</f>
        <v/>
      </c>
      <c r="F466" s="7" t="str">
        <f t="array" ref="F466">IFERROR(INDEX(Base_Estudiantes!$B$4:$B$505,MATCH(D466,Base_Estudiantes!$C$4:$C$505,0)),"")</f>
        <v/>
      </c>
      <c r="G466" s="7" t="str">
        <f t="array" ref="G466">IFERROR(INDEX(Base_Estudiantes!$D$4:$D$505,MATCH(D466,Base_Estudiantes!$C$4:$C$505,0)),"")</f>
        <v/>
      </c>
      <c r="H466" s="7" t="str">
        <f t="array" ref="H466">IFERROR(INDEX(Base_Estudiantes!$F$4:$F$505,MATCH(D466,Base_Estudiantes!$C$4:$C$505,0)),"")</f>
        <v/>
      </c>
      <c r="I466" s="7" t="str">
        <f t="array" ref="I466">IFERROR(INDEX(Base_Estudiantes!$G$4:$G$505,MATCH(D466,Base_Estudiantes!$C$4:$C$505,0)),"")</f>
        <v/>
      </c>
      <c r="J466" s="7" t="str">
        <f t="array" ref="J466">IFERROR(INDEX(Base_Estudiantes!$H$4:$H$505,MATCH(D466,Base_Estudiantes!$C$4:$C$505,0)),"")</f>
        <v/>
      </c>
      <c r="K466" s="5"/>
      <c r="L466" s="5"/>
      <c r="M466" s="5"/>
      <c r="N466" s="5"/>
      <c r="O466" s="5"/>
      <c r="P466" s="5"/>
      <c r="Q466" s="5"/>
      <c r="R466" s="20"/>
      <c r="S466" s="5"/>
      <c r="T466" s="5"/>
    </row>
    <row r="467" spans="1:20" ht="15.75" customHeight="1">
      <c r="A467" s="19" t="str">
        <f t="shared" si="0"/>
        <v/>
      </c>
      <c r="B467" s="6"/>
      <c r="C467" s="20"/>
      <c r="D467" s="5"/>
      <c r="E467" s="7" t="str">
        <f t="array" ref="E467">IFERROR(INDEX(Base_Estudiantes!$A$4:$A$505,MATCH(D467,Base_Estudiantes!$C$4:$C$505,0)),"")</f>
        <v/>
      </c>
      <c r="F467" s="7" t="str">
        <f t="array" ref="F467">IFERROR(INDEX(Base_Estudiantes!$B$4:$B$505,MATCH(D467,Base_Estudiantes!$C$4:$C$505,0)),"")</f>
        <v/>
      </c>
      <c r="G467" s="7" t="str">
        <f t="array" ref="G467">IFERROR(INDEX(Base_Estudiantes!$D$4:$D$505,MATCH(D467,Base_Estudiantes!$C$4:$C$505,0)),"")</f>
        <v/>
      </c>
      <c r="H467" s="7" t="str">
        <f t="array" ref="H467">IFERROR(INDEX(Base_Estudiantes!$F$4:$F$505,MATCH(D467,Base_Estudiantes!$C$4:$C$505,0)),"")</f>
        <v/>
      </c>
      <c r="I467" s="7" t="str">
        <f t="array" ref="I467">IFERROR(INDEX(Base_Estudiantes!$G$4:$G$505,MATCH(D467,Base_Estudiantes!$C$4:$C$505,0)),"")</f>
        <v/>
      </c>
      <c r="J467" s="7" t="str">
        <f t="array" ref="J467">IFERROR(INDEX(Base_Estudiantes!$H$4:$H$505,MATCH(D467,Base_Estudiantes!$C$4:$C$505,0)),"")</f>
        <v/>
      </c>
      <c r="K467" s="5"/>
      <c r="L467" s="5"/>
      <c r="M467" s="5"/>
      <c r="N467" s="5"/>
      <c r="O467" s="5"/>
      <c r="P467" s="5"/>
      <c r="Q467" s="5"/>
      <c r="R467" s="20"/>
      <c r="S467" s="5"/>
      <c r="T467" s="5"/>
    </row>
    <row r="468" spans="1:20" ht="15.75" customHeight="1">
      <c r="A468" s="19" t="str">
        <f t="shared" si="0"/>
        <v/>
      </c>
      <c r="B468" s="6"/>
      <c r="C468" s="20"/>
      <c r="D468" s="5"/>
      <c r="E468" s="7" t="str">
        <f t="array" ref="E468">IFERROR(INDEX(Base_Estudiantes!$A$4:$A$505,MATCH(D468,Base_Estudiantes!$C$4:$C$505,0)),"")</f>
        <v/>
      </c>
      <c r="F468" s="7" t="str">
        <f t="array" ref="F468">IFERROR(INDEX(Base_Estudiantes!$B$4:$B$505,MATCH(D468,Base_Estudiantes!$C$4:$C$505,0)),"")</f>
        <v/>
      </c>
      <c r="G468" s="7" t="str">
        <f t="array" ref="G468">IFERROR(INDEX(Base_Estudiantes!$D$4:$D$505,MATCH(D468,Base_Estudiantes!$C$4:$C$505,0)),"")</f>
        <v/>
      </c>
      <c r="H468" s="7" t="str">
        <f t="array" ref="H468">IFERROR(INDEX(Base_Estudiantes!$F$4:$F$505,MATCH(D468,Base_Estudiantes!$C$4:$C$505,0)),"")</f>
        <v/>
      </c>
      <c r="I468" s="7" t="str">
        <f t="array" ref="I468">IFERROR(INDEX(Base_Estudiantes!$G$4:$G$505,MATCH(D468,Base_Estudiantes!$C$4:$C$505,0)),"")</f>
        <v/>
      </c>
      <c r="J468" s="7" t="str">
        <f t="array" ref="J468">IFERROR(INDEX(Base_Estudiantes!$H$4:$H$505,MATCH(D468,Base_Estudiantes!$C$4:$C$505,0)),"")</f>
        <v/>
      </c>
      <c r="K468" s="5"/>
      <c r="L468" s="5"/>
      <c r="M468" s="5"/>
      <c r="N468" s="5"/>
      <c r="O468" s="5"/>
      <c r="P468" s="5"/>
      <c r="Q468" s="5"/>
      <c r="R468" s="20"/>
      <c r="S468" s="5"/>
      <c r="T468" s="5"/>
    </row>
    <row r="469" spans="1:20" ht="15.75" customHeight="1">
      <c r="A469" s="19" t="str">
        <f t="shared" si="0"/>
        <v/>
      </c>
      <c r="B469" s="6"/>
      <c r="C469" s="20"/>
      <c r="D469" s="5"/>
      <c r="E469" s="7" t="str">
        <f t="array" ref="E469">IFERROR(INDEX(Base_Estudiantes!$A$4:$A$505,MATCH(D469,Base_Estudiantes!$C$4:$C$505,0)),"")</f>
        <v/>
      </c>
      <c r="F469" s="7" t="str">
        <f t="array" ref="F469">IFERROR(INDEX(Base_Estudiantes!$B$4:$B$505,MATCH(D469,Base_Estudiantes!$C$4:$C$505,0)),"")</f>
        <v/>
      </c>
      <c r="G469" s="7" t="str">
        <f t="array" ref="G469">IFERROR(INDEX(Base_Estudiantes!$D$4:$D$505,MATCH(D469,Base_Estudiantes!$C$4:$C$505,0)),"")</f>
        <v/>
      </c>
      <c r="H469" s="7" t="str">
        <f t="array" ref="H469">IFERROR(INDEX(Base_Estudiantes!$F$4:$F$505,MATCH(D469,Base_Estudiantes!$C$4:$C$505,0)),"")</f>
        <v/>
      </c>
      <c r="I469" s="7" t="str">
        <f t="array" ref="I469">IFERROR(INDEX(Base_Estudiantes!$G$4:$G$505,MATCH(D469,Base_Estudiantes!$C$4:$C$505,0)),"")</f>
        <v/>
      </c>
      <c r="J469" s="7" t="str">
        <f t="array" ref="J469">IFERROR(INDEX(Base_Estudiantes!$H$4:$H$505,MATCH(D469,Base_Estudiantes!$C$4:$C$505,0)),"")</f>
        <v/>
      </c>
      <c r="K469" s="5"/>
      <c r="L469" s="5"/>
      <c r="M469" s="5"/>
      <c r="N469" s="5"/>
      <c r="O469" s="5"/>
      <c r="P469" s="5"/>
      <c r="Q469" s="5"/>
      <c r="R469" s="20"/>
      <c r="S469" s="5"/>
      <c r="T469" s="5"/>
    </row>
    <row r="470" spans="1:20" ht="15.75" customHeight="1">
      <c r="A470" s="19" t="str">
        <f t="shared" si="0"/>
        <v/>
      </c>
      <c r="B470" s="6"/>
      <c r="C470" s="20"/>
      <c r="D470" s="5"/>
      <c r="E470" s="7" t="str">
        <f t="array" ref="E470">IFERROR(INDEX(Base_Estudiantes!$A$4:$A$505,MATCH(D470,Base_Estudiantes!$C$4:$C$505,0)),"")</f>
        <v/>
      </c>
      <c r="F470" s="7" t="str">
        <f t="array" ref="F470">IFERROR(INDEX(Base_Estudiantes!$B$4:$B$505,MATCH(D470,Base_Estudiantes!$C$4:$C$505,0)),"")</f>
        <v/>
      </c>
      <c r="G470" s="7" t="str">
        <f t="array" ref="G470">IFERROR(INDEX(Base_Estudiantes!$D$4:$D$505,MATCH(D470,Base_Estudiantes!$C$4:$C$505,0)),"")</f>
        <v/>
      </c>
      <c r="H470" s="7" t="str">
        <f t="array" ref="H470">IFERROR(INDEX(Base_Estudiantes!$F$4:$F$505,MATCH(D470,Base_Estudiantes!$C$4:$C$505,0)),"")</f>
        <v/>
      </c>
      <c r="I470" s="7" t="str">
        <f t="array" ref="I470">IFERROR(INDEX(Base_Estudiantes!$G$4:$G$505,MATCH(D470,Base_Estudiantes!$C$4:$C$505,0)),"")</f>
        <v/>
      </c>
      <c r="J470" s="7" t="str">
        <f t="array" ref="J470">IFERROR(INDEX(Base_Estudiantes!$H$4:$H$505,MATCH(D470,Base_Estudiantes!$C$4:$C$505,0)),"")</f>
        <v/>
      </c>
      <c r="K470" s="5"/>
      <c r="L470" s="5"/>
      <c r="M470" s="5"/>
      <c r="N470" s="5"/>
      <c r="O470" s="5"/>
      <c r="P470" s="5"/>
      <c r="Q470" s="5"/>
      <c r="R470" s="20"/>
      <c r="S470" s="5"/>
      <c r="T470" s="5"/>
    </row>
    <row r="471" spans="1:20" ht="15.75" customHeight="1">
      <c r="A471" s="19" t="str">
        <f t="shared" si="0"/>
        <v/>
      </c>
      <c r="B471" s="6"/>
      <c r="C471" s="20"/>
      <c r="D471" s="5"/>
      <c r="E471" s="7" t="str">
        <f t="array" ref="E471">IFERROR(INDEX(Base_Estudiantes!$A$4:$A$505,MATCH(D471,Base_Estudiantes!$C$4:$C$505,0)),"")</f>
        <v/>
      </c>
      <c r="F471" s="7" t="str">
        <f t="array" ref="F471">IFERROR(INDEX(Base_Estudiantes!$B$4:$B$505,MATCH(D471,Base_Estudiantes!$C$4:$C$505,0)),"")</f>
        <v/>
      </c>
      <c r="G471" s="7" t="str">
        <f t="array" ref="G471">IFERROR(INDEX(Base_Estudiantes!$D$4:$D$505,MATCH(D471,Base_Estudiantes!$C$4:$C$505,0)),"")</f>
        <v/>
      </c>
      <c r="H471" s="7" t="str">
        <f t="array" ref="H471">IFERROR(INDEX(Base_Estudiantes!$F$4:$F$505,MATCH(D471,Base_Estudiantes!$C$4:$C$505,0)),"")</f>
        <v/>
      </c>
      <c r="I471" s="7" t="str">
        <f t="array" ref="I471">IFERROR(INDEX(Base_Estudiantes!$G$4:$G$505,MATCH(D471,Base_Estudiantes!$C$4:$C$505,0)),"")</f>
        <v/>
      </c>
      <c r="J471" s="7" t="str">
        <f t="array" ref="J471">IFERROR(INDEX(Base_Estudiantes!$H$4:$H$505,MATCH(D471,Base_Estudiantes!$C$4:$C$505,0)),"")</f>
        <v/>
      </c>
      <c r="K471" s="5"/>
      <c r="L471" s="5"/>
      <c r="M471" s="5"/>
      <c r="N471" s="5"/>
      <c r="O471" s="5"/>
      <c r="P471" s="5"/>
      <c r="Q471" s="5"/>
      <c r="R471" s="20"/>
      <c r="S471" s="5"/>
      <c r="T471" s="5"/>
    </row>
    <row r="472" spans="1:20" ht="15.75" customHeight="1">
      <c r="A472" s="19" t="str">
        <f t="shared" si="0"/>
        <v/>
      </c>
      <c r="B472" s="6"/>
      <c r="C472" s="20"/>
      <c r="D472" s="5"/>
      <c r="E472" s="7" t="str">
        <f t="array" ref="E472">IFERROR(INDEX(Base_Estudiantes!$A$4:$A$505,MATCH(D472,Base_Estudiantes!$C$4:$C$505,0)),"")</f>
        <v/>
      </c>
      <c r="F472" s="7" t="str">
        <f t="array" ref="F472">IFERROR(INDEX(Base_Estudiantes!$B$4:$B$505,MATCH(D472,Base_Estudiantes!$C$4:$C$505,0)),"")</f>
        <v/>
      </c>
      <c r="G472" s="7" t="str">
        <f t="array" ref="G472">IFERROR(INDEX(Base_Estudiantes!$D$4:$D$505,MATCH(D472,Base_Estudiantes!$C$4:$C$505,0)),"")</f>
        <v/>
      </c>
      <c r="H472" s="7" t="str">
        <f t="array" ref="H472">IFERROR(INDEX(Base_Estudiantes!$F$4:$F$505,MATCH(D472,Base_Estudiantes!$C$4:$C$505,0)),"")</f>
        <v/>
      </c>
      <c r="I472" s="7" t="str">
        <f t="array" ref="I472">IFERROR(INDEX(Base_Estudiantes!$G$4:$G$505,MATCH(D472,Base_Estudiantes!$C$4:$C$505,0)),"")</f>
        <v/>
      </c>
      <c r="J472" s="7" t="str">
        <f t="array" ref="J472">IFERROR(INDEX(Base_Estudiantes!$H$4:$H$505,MATCH(D472,Base_Estudiantes!$C$4:$C$505,0)),"")</f>
        <v/>
      </c>
      <c r="K472" s="5"/>
      <c r="L472" s="5"/>
      <c r="M472" s="5"/>
      <c r="N472" s="5"/>
      <c r="O472" s="5"/>
      <c r="P472" s="5"/>
      <c r="Q472" s="5"/>
      <c r="R472" s="20"/>
      <c r="S472" s="5"/>
      <c r="T472" s="5"/>
    </row>
    <row r="473" spans="1:20" ht="15.75" customHeight="1">
      <c r="A473" s="19" t="str">
        <f t="shared" si="0"/>
        <v/>
      </c>
      <c r="B473" s="6"/>
      <c r="C473" s="20"/>
      <c r="D473" s="5"/>
      <c r="E473" s="7" t="str">
        <f t="array" ref="E473">IFERROR(INDEX(Base_Estudiantes!$A$4:$A$505,MATCH(D473,Base_Estudiantes!$C$4:$C$505,0)),"")</f>
        <v/>
      </c>
      <c r="F473" s="7" t="str">
        <f t="array" ref="F473">IFERROR(INDEX(Base_Estudiantes!$B$4:$B$505,MATCH(D473,Base_Estudiantes!$C$4:$C$505,0)),"")</f>
        <v/>
      </c>
      <c r="G473" s="7" t="str">
        <f t="array" ref="G473">IFERROR(INDEX(Base_Estudiantes!$D$4:$D$505,MATCH(D473,Base_Estudiantes!$C$4:$C$505,0)),"")</f>
        <v/>
      </c>
      <c r="H473" s="7" t="str">
        <f t="array" ref="H473">IFERROR(INDEX(Base_Estudiantes!$F$4:$F$505,MATCH(D473,Base_Estudiantes!$C$4:$C$505,0)),"")</f>
        <v/>
      </c>
      <c r="I473" s="7" t="str">
        <f t="array" ref="I473">IFERROR(INDEX(Base_Estudiantes!$G$4:$G$505,MATCH(D473,Base_Estudiantes!$C$4:$C$505,0)),"")</f>
        <v/>
      </c>
      <c r="J473" s="7" t="str">
        <f t="array" ref="J473">IFERROR(INDEX(Base_Estudiantes!$H$4:$H$505,MATCH(D473,Base_Estudiantes!$C$4:$C$505,0)),"")</f>
        <v/>
      </c>
      <c r="K473" s="5"/>
      <c r="L473" s="5"/>
      <c r="M473" s="5"/>
      <c r="N473" s="5"/>
      <c r="O473" s="5"/>
      <c r="P473" s="5"/>
      <c r="Q473" s="5"/>
      <c r="R473" s="20"/>
      <c r="S473" s="5"/>
      <c r="T473" s="5"/>
    </row>
    <row r="474" spans="1:20" ht="15.75" customHeight="1">
      <c r="A474" s="19" t="str">
        <f t="shared" si="0"/>
        <v/>
      </c>
      <c r="B474" s="6"/>
      <c r="C474" s="20"/>
      <c r="D474" s="5"/>
      <c r="E474" s="7" t="str">
        <f t="array" ref="E474">IFERROR(INDEX(Base_Estudiantes!$A$4:$A$505,MATCH(D474,Base_Estudiantes!$C$4:$C$505,0)),"")</f>
        <v/>
      </c>
      <c r="F474" s="7" t="str">
        <f t="array" ref="F474">IFERROR(INDEX(Base_Estudiantes!$B$4:$B$505,MATCH(D474,Base_Estudiantes!$C$4:$C$505,0)),"")</f>
        <v/>
      </c>
      <c r="G474" s="7" t="str">
        <f t="array" ref="G474">IFERROR(INDEX(Base_Estudiantes!$D$4:$D$505,MATCH(D474,Base_Estudiantes!$C$4:$C$505,0)),"")</f>
        <v/>
      </c>
      <c r="H474" s="7" t="str">
        <f t="array" ref="H474">IFERROR(INDEX(Base_Estudiantes!$F$4:$F$505,MATCH(D474,Base_Estudiantes!$C$4:$C$505,0)),"")</f>
        <v/>
      </c>
      <c r="I474" s="7" t="str">
        <f t="array" ref="I474">IFERROR(INDEX(Base_Estudiantes!$G$4:$G$505,MATCH(D474,Base_Estudiantes!$C$4:$C$505,0)),"")</f>
        <v/>
      </c>
      <c r="J474" s="7" t="str">
        <f t="array" ref="J474">IFERROR(INDEX(Base_Estudiantes!$H$4:$H$505,MATCH(D474,Base_Estudiantes!$C$4:$C$505,0)),"")</f>
        <v/>
      </c>
      <c r="K474" s="5"/>
      <c r="L474" s="5"/>
      <c r="M474" s="5"/>
      <c r="N474" s="5"/>
      <c r="O474" s="5"/>
      <c r="P474" s="5"/>
      <c r="Q474" s="5"/>
      <c r="R474" s="20"/>
      <c r="S474" s="5"/>
      <c r="T474" s="5"/>
    </row>
    <row r="475" spans="1:20" ht="15.75" customHeight="1">
      <c r="A475" s="19" t="str">
        <f t="shared" si="0"/>
        <v/>
      </c>
      <c r="B475" s="6"/>
      <c r="C475" s="20"/>
      <c r="D475" s="5"/>
      <c r="E475" s="7" t="str">
        <f t="array" ref="E475">IFERROR(INDEX(Base_Estudiantes!$A$4:$A$505,MATCH(D475,Base_Estudiantes!$C$4:$C$505,0)),"")</f>
        <v/>
      </c>
      <c r="F475" s="7" t="str">
        <f t="array" ref="F475">IFERROR(INDEX(Base_Estudiantes!$B$4:$B$505,MATCH(D475,Base_Estudiantes!$C$4:$C$505,0)),"")</f>
        <v/>
      </c>
      <c r="G475" s="7" t="str">
        <f t="array" ref="G475">IFERROR(INDEX(Base_Estudiantes!$D$4:$D$505,MATCH(D475,Base_Estudiantes!$C$4:$C$505,0)),"")</f>
        <v/>
      </c>
      <c r="H475" s="7" t="str">
        <f t="array" ref="H475">IFERROR(INDEX(Base_Estudiantes!$F$4:$F$505,MATCH(D475,Base_Estudiantes!$C$4:$C$505,0)),"")</f>
        <v/>
      </c>
      <c r="I475" s="7" t="str">
        <f t="array" ref="I475">IFERROR(INDEX(Base_Estudiantes!$G$4:$G$505,MATCH(D475,Base_Estudiantes!$C$4:$C$505,0)),"")</f>
        <v/>
      </c>
      <c r="J475" s="7" t="str">
        <f t="array" ref="J475">IFERROR(INDEX(Base_Estudiantes!$H$4:$H$505,MATCH(D475,Base_Estudiantes!$C$4:$C$505,0)),"")</f>
        <v/>
      </c>
      <c r="K475" s="5"/>
      <c r="L475" s="5"/>
      <c r="M475" s="5"/>
      <c r="N475" s="5"/>
      <c r="O475" s="5"/>
      <c r="P475" s="5"/>
      <c r="Q475" s="5"/>
      <c r="R475" s="20"/>
      <c r="S475" s="5"/>
      <c r="T475" s="5"/>
    </row>
    <row r="476" spans="1:20" ht="15.75" customHeight="1">
      <c r="A476" s="19" t="str">
        <f t="shared" si="0"/>
        <v/>
      </c>
      <c r="B476" s="6"/>
      <c r="C476" s="20"/>
      <c r="D476" s="5"/>
      <c r="E476" s="7" t="str">
        <f t="array" ref="E476">IFERROR(INDEX(Base_Estudiantes!$A$4:$A$505,MATCH(D476,Base_Estudiantes!$C$4:$C$505,0)),"")</f>
        <v/>
      </c>
      <c r="F476" s="7" t="str">
        <f t="array" ref="F476">IFERROR(INDEX(Base_Estudiantes!$B$4:$B$505,MATCH(D476,Base_Estudiantes!$C$4:$C$505,0)),"")</f>
        <v/>
      </c>
      <c r="G476" s="7" t="str">
        <f t="array" ref="G476">IFERROR(INDEX(Base_Estudiantes!$D$4:$D$505,MATCH(D476,Base_Estudiantes!$C$4:$C$505,0)),"")</f>
        <v/>
      </c>
      <c r="H476" s="7" t="str">
        <f t="array" ref="H476">IFERROR(INDEX(Base_Estudiantes!$F$4:$F$505,MATCH(D476,Base_Estudiantes!$C$4:$C$505,0)),"")</f>
        <v/>
      </c>
      <c r="I476" s="7" t="str">
        <f t="array" ref="I476">IFERROR(INDEX(Base_Estudiantes!$G$4:$G$505,MATCH(D476,Base_Estudiantes!$C$4:$C$505,0)),"")</f>
        <v/>
      </c>
      <c r="J476" s="7" t="str">
        <f t="array" ref="J476">IFERROR(INDEX(Base_Estudiantes!$H$4:$H$505,MATCH(D476,Base_Estudiantes!$C$4:$C$505,0)),"")</f>
        <v/>
      </c>
      <c r="K476" s="5"/>
      <c r="L476" s="5"/>
      <c r="M476" s="5"/>
      <c r="N476" s="5"/>
      <c r="O476" s="5"/>
      <c r="P476" s="5"/>
      <c r="Q476" s="5"/>
      <c r="R476" s="20"/>
      <c r="S476" s="5"/>
      <c r="T476" s="5"/>
    </row>
    <row r="477" spans="1:20" ht="15.75" customHeight="1">
      <c r="A477" s="19" t="str">
        <f t="shared" si="0"/>
        <v/>
      </c>
      <c r="B477" s="6"/>
      <c r="C477" s="20"/>
      <c r="D477" s="5"/>
      <c r="E477" s="7" t="str">
        <f t="array" ref="E477">IFERROR(INDEX(Base_Estudiantes!$A$4:$A$505,MATCH(D477,Base_Estudiantes!$C$4:$C$505,0)),"")</f>
        <v/>
      </c>
      <c r="F477" s="7" t="str">
        <f t="array" ref="F477">IFERROR(INDEX(Base_Estudiantes!$B$4:$B$505,MATCH(D477,Base_Estudiantes!$C$4:$C$505,0)),"")</f>
        <v/>
      </c>
      <c r="G477" s="7" t="str">
        <f t="array" ref="G477">IFERROR(INDEX(Base_Estudiantes!$D$4:$D$505,MATCH(D477,Base_Estudiantes!$C$4:$C$505,0)),"")</f>
        <v/>
      </c>
      <c r="H477" s="7" t="str">
        <f t="array" ref="H477">IFERROR(INDEX(Base_Estudiantes!$F$4:$F$505,MATCH(D477,Base_Estudiantes!$C$4:$C$505,0)),"")</f>
        <v/>
      </c>
      <c r="I477" s="7" t="str">
        <f t="array" ref="I477">IFERROR(INDEX(Base_Estudiantes!$G$4:$G$505,MATCH(D477,Base_Estudiantes!$C$4:$C$505,0)),"")</f>
        <v/>
      </c>
      <c r="J477" s="7" t="str">
        <f t="array" ref="J477">IFERROR(INDEX(Base_Estudiantes!$H$4:$H$505,MATCH(D477,Base_Estudiantes!$C$4:$C$505,0)),"")</f>
        <v/>
      </c>
      <c r="K477" s="5"/>
      <c r="L477" s="5"/>
      <c r="M477" s="5"/>
      <c r="N477" s="5"/>
      <c r="O477" s="5"/>
      <c r="P477" s="5"/>
      <c r="Q477" s="5"/>
      <c r="R477" s="20"/>
      <c r="S477" s="5"/>
      <c r="T477" s="5"/>
    </row>
    <row r="478" spans="1:20" ht="15.75" customHeight="1">
      <c r="A478" s="19" t="str">
        <f t="shared" si="0"/>
        <v/>
      </c>
      <c r="B478" s="6"/>
      <c r="C478" s="20"/>
      <c r="D478" s="5"/>
      <c r="E478" s="7" t="str">
        <f t="array" ref="E478">IFERROR(INDEX(Base_Estudiantes!$A$4:$A$505,MATCH(D478,Base_Estudiantes!$C$4:$C$505,0)),"")</f>
        <v/>
      </c>
      <c r="F478" s="7" t="str">
        <f t="array" ref="F478">IFERROR(INDEX(Base_Estudiantes!$B$4:$B$505,MATCH(D478,Base_Estudiantes!$C$4:$C$505,0)),"")</f>
        <v/>
      </c>
      <c r="G478" s="7" t="str">
        <f t="array" ref="G478">IFERROR(INDEX(Base_Estudiantes!$D$4:$D$505,MATCH(D478,Base_Estudiantes!$C$4:$C$505,0)),"")</f>
        <v/>
      </c>
      <c r="H478" s="7" t="str">
        <f t="array" ref="H478">IFERROR(INDEX(Base_Estudiantes!$F$4:$F$505,MATCH(D478,Base_Estudiantes!$C$4:$C$505,0)),"")</f>
        <v/>
      </c>
      <c r="I478" s="7" t="str">
        <f t="array" ref="I478">IFERROR(INDEX(Base_Estudiantes!$G$4:$G$505,MATCH(D478,Base_Estudiantes!$C$4:$C$505,0)),"")</f>
        <v/>
      </c>
      <c r="J478" s="7" t="str">
        <f t="array" ref="J478">IFERROR(INDEX(Base_Estudiantes!$H$4:$H$505,MATCH(D478,Base_Estudiantes!$C$4:$C$505,0)),"")</f>
        <v/>
      </c>
      <c r="K478" s="5"/>
      <c r="L478" s="5"/>
      <c r="M478" s="5"/>
      <c r="N478" s="5"/>
      <c r="O478" s="5"/>
      <c r="P478" s="5"/>
      <c r="Q478" s="5"/>
      <c r="R478" s="20"/>
      <c r="S478" s="5"/>
      <c r="T478" s="5"/>
    </row>
    <row r="479" spans="1:20" ht="15.75" customHeight="1">
      <c r="A479" s="19" t="str">
        <f t="shared" si="0"/>
        <v/>
      </c>
      <c r="B479" s="6"/>
      <c r="C479" s="20"/>
      <c r="D479" s="5"/>
      <c r="E479" s="7" t="str">
        <f t="array" ref="E479">IFERROR(INDEX(Base_Estudiantes!$A$4:$A$505,MATCH(D479,Base_Estudiantes!$C$4:$C$505,0)),"")</f>
        <v/>
      </c>
      <c r="F479" s="7" t="str">
        <f t="array" ref="F479">IFERROR(INDEX(Base_Estudiantes!$B$4:$B$505,MATCH(D479,Base_Estudiantes!$C$4:$C$505,0)),"")</f>
        <v/>
      </c>
      <c r="G479" s="7" t="str">
        <f t="array" ref="G479">IFERROR(INDEX(Base_Estudiantes!$D$4:$D$505,MATCH(D479,Base_Estudiantes!$C$4:$C$505,0)),"")</f>
        <v/>
      </c>
      <c r="H479" s="7" t="str">
        <f t="array" ref="H479">IFERROR(INDEX(Base_Estudiantes!$F$4:$F$505,MATCH(D479,Base_Estudiantes!$C$4:$C$505,0)),"")</f>
        <v/>
      </c>
      <c r="I479" s="7" t="str">
        <f t="array" ref="I479">IFERROR(INDEX(Base_Estudiantes!$G$4:$G$505,MATCH(D479,Base_Estudiantes!$C$4:$C$505,0)),"")</f>
        <v/>
      </c>
      <c r="J479" s="7" t="str">
        <f t="array" ref="J479">IFERROR(INDEX(Base_Estudiantes!$H$4:$H$505,MATCH(D479,Base_Estudiantes!$C$4:$C$505,0)),"")</f>
        <v/>
      </c>
      <c r="K479" s="5"/>
      <c r="L479" s="5"/>
      <c r="M479" s="5"/>
      <c r="N479" s="5"/>
      <c r="O479" s="5"/>
      <c r="P479" s="5"/>
      <c r="Q479" s="5"/>
      <c r="R479" s="20"/>
      <c r="S479" s="5"/>
      <c r="T479" s="5"/>
    </row>
    <row r="480" spans="1:20" ht="15.75" customHeight="1">
      <c r="A480" s="19" t="str">
        <f t="shared" si="0"/>
        <v/>
      </c>
      <c r="B480" s="6"/>
      <c r="C480" s="20"/>
      <c r="D480" s="5"/>
      <c r="E480" s="7" t="str">
        <f t="array" ref="E480">IFERROR(INDEX(Base_Estudiantes!$A$4:$A$505,MATCH(D480,Base_Estudiantes!$C$4:$C$505,0)),"")</f>
        <v/>
      </c>
      <c r="F480" s="7" t="str">
        <f t="array" ref="F480">IFERROR(INDEX(Base_Estudiantes!$B$4:$B$505,MATCH(D480,Base_Estudiantes!$C$4:$C$505,0)),"")</f>
        <v/>
      </c>
      <c r="G480" s="7" t="str">
        <f t="array" ref="G480">IFERROR(INDEX(Base_Estudiantes!$D$4:$D$505,MATCH(D480,Base_Estudiantes!$C$4:$C$505,0)),"")</f>
        <v/>
      </c>
      <c r="H480" s="7" t="str">
        <f t="array" ref="H480">IFERROR(INDEX(Base_Estudiantes!$F$4:$F$505,MATCH(D480,Base_Estudiantes!$C$4:$C$505,0)),"")</f>
        <v/>
      </c>
      <c r="I480" s="7" t="str">
        <f t="array" ref="I480">IFERROR(INDEX(Base_Estudiantes!$G$4:$G$505,MATCH(D480,Base_Estudiantes!$C$4:$C$505,0)),"")</f>
        <v/>
      </c>
      <c r="J480" s="7" t="str">
        <f t="array" ref="J480">IFERROR(INDEX(Base_Estudiantes!$H$4:$H$505,MATCH(D480,Base_Estudiantes!$C$4:$C$505,0)),"")</f>
        <v/>
      </c>
      <c r="K480" s="5"/>
      <c r="L480" s="5"/>
      <c r="M480" s="5"/>
      <c r="N480" s="5"/>
      <c r="O480" s="5"/>
      <c r="P480" s="5"/>
      <c r="Q480" s="5"/>
      <c r="R480" s="20"/>
      <c r="S480" s="5"/>
      <c r="T480" s="5"/>
    </row>
    <row r="481" spans="1:20" ht="15.75" customHeight="1">
      <c r="A481" s="19" t="str">
        <f t="shared" si="0"/>
        <v/>
      </c>
      <c r="B481" s="6"/>
      <c r="C481" s="20"/>
      <c r="D481" s="5"/>
      <c r="E481" s="7" t="str">
        <f t="array" ref="E481">IFERROR(INDEX(Base_Estudiantes!$A$4:$A$505,MATCH(D481,Base_Estudiantes!$C$4:$C$505,0)),"")</f>
        <v/>
      </c>
      <c r="F481" s="7" t="str">
        <f t="array" ref="F481">IFERROR(INDEX(Base_Estudiantes!$B$4:$B$505,MATCH(D481,Base_Estudiantes!$C$4:$C$505,0)),"")</f>
        <v/>
      </c>
      <c r="G481" s="7" t="str">
        <f t="array" ref="G481">IFERROR(INDEX(Base_Estudiantes!$D$4:$D$505,MATCH(D481,Base_Estudiantes!$C$4:$C$505,0)),"")</f>
        <v/>
      </c>
      <c r="H481" s="7" t="str">
        <f t="array" ref="H481">IFERROR(INDEX(Base_Estudiantes!$F$4:$F$505,MATCH(D481,Base_Estudiantes!$C$4:$C$505,0)),"")</f>
        <v/>
      </c>
      <c r="I481" s="7" t="str">
        <f t="array" ref="I481">IFERROR(INDEX(Base_Estudiantes!$G$4:$G$505,MATCH(D481,Base_Estudiantes!$C$4:$C$505,0)),"")</f>
        <v/>
      </c>
      <c r="J481" s="7" t="str">
        <f t="array" ref="J481">IFERROR(INDEX(Base_Estudiantes!$H$4:$H$505,MATCH(D481,Base_Estudiantes!$C$4:$C$505,0)),"")</f>
        <v/>
      </c>
      <c r="K481" s="5"/>
      <c r="L481" s="5"/>
      <c r="M481" s="5"/>
      <c r="N481" s="5"/>
      <c r="O481" s="5"/>
      <c r="P481" s="5"/>
      <c r="Q481" s="5"/>
      <c r="R481" s="20"/>
      <c r="S481" s="5"/>
      <c r="T481" s="5"/>
    </row>
    <row r="482" spans="1:20" ht="15.75" customHeight="1">
      <c r="A482" s="19" t="str">
        <f t="shared" si="0"/>
        <v/>
      </c>
      <c r="B482" s="6"/>
      <c r="C482" s="20"/>
      <c r="D482" s="5"/>
      <c r="E482" s="7" t="str">
        <f t="array" ref="E482">IFERROR(INDEX(Base_Estudiantes!$A$4:$A$505,MATCH(D482,Base_Estudiantes!$C$4:$C$505,0)),"")</f>
        <v/>
      </c>
      <c r="F482" s="7" t="str">
        <f t="array" ref="F482">IFERROR(INDEX(Base_Estudiantes!$B$4:$B$505,MATCH(D482,Base_Estudiantes!$C$4:$C$505,0)),"")</f>
        <v/>
      </c>
      <c r="G482" s="7" t="str">
        <f t="array" ref="G482">IFERROR(INDEX(Base_Estudiantes!$D$4:$D$505,MATCH(D482,Base_Estudiantes!$C$4:$C$505,0)),"")</f>
        <v/>
      </c>
      <c r="H482" s="7" t="str">
        <f t="array" ref="H482">IFERROR(INDEX(Base_Estudiantes!$F$4:$F$505,MATCH(D482,Base_Estudiantes!$C$4:$C$505,0)),"")</f>
        <v/>
      </c>
      <c r="I482" s="7" t="str">
        <f t="array" ref="I482">IFERROR(INDEX(Base_Estudiantes!$G$4:$G$505,MATCH(D482,Base_Estudiantes!$C$4:$C$505,0)),"")</f>
        <v/>
      </c>
      <c r="J482" s="7" t="str">
        <f t="array" ref="J482">IFERROR(INDEX(Base_Estudiantes!$H$4:$H$505,MATCH(D482,Base_Estudiantes!$C$4:$C$505,0)),"")</f>
        <v/>
      </c>
      <c r="K482" s="5"/>
      <c r="L482" s="5"/>
      <c r="M482" s="5"/>
      <c r="N482" s="5"/>
      <c r="O482" s="5"/>
      <c r="P482" s="5"/>
      <c r="Q482" s="5"/>
      <c r="R482" s="20"/>
      <c r="S482" s="5"/>
      <c r="T482" s="5"/>
    </row>
    <row r="483" spans="1:20" ht="15.75" customHeight="1">
      <c r="A483" s="19" t="str">
        <f t="shared" si="0"/>
        <v/>
      </c>
      <c r="B483" s="6"/>
      <c r="C483" s="20"/>
      <c r="D483" s="5"/>
      <c r="E483" s="7" t="str">
        <f t="array" ref="E483">IFERROR(INDEX(Base_Estudiantes!$A$4:$A$505,MATCH(D483,Base_Estudiantes!$C$4:$C$505,0)),"")</f>
        <v/>
      </c>
      <c r="F483" s="7" t="str">
        <f t="array" ref="F483">IFERROR(INDEX(Base_Estudiantes!$B$4:$B$505,MATCH(D483,Base_Estudiantes!$C$4:$C$505,0)),"")</f>
        <v/>
      </c>
      <c r="G483" s="7" t="str">
        <f t="array" ref="G483">IFERROR(INDEX(Base_Estudiantes!$D$4:$D$505,MATCH(D483,Base_Estudiantes!$C$4:$C$505,0)),"")</f>
        <v/>
      </c>
      <c r="H483" s="7" t="str">
        <f t="array" ref="H483">IFERROR(INDEX(Base_Estudiantes!$F$4:$F$505,MATCH(D483,Base_Estudiantes!$C$4:$C$505,0)),"")</f>
        <v/>
      </c>
      <c r="I483" s="7" t="str">
        <f t="array" ref="I483">IFERROR(INDEX(Base_Estudiantes!$G$4:$G$505,MATCH(D483,Base_Estudiantes!$C$4:$C$505,0)),"")</f>
        <v/>
      </c>
      <c r="J483" s="7" t="str">
        <f t="array" ref="J483">IFERROR(INDEX(Base_Estudiantes!$H$4:$H$505,MATCH(D483,Base_Estudiantes!$C$4:$C$505,0)),"")</f>
        <v/>
      </c>
      <c r="K483" s="5"/>
      <c r="L483" s="5"/>
      <c r="M483" s="5"/>
      <c r="N483" s="5"/>
      <c r="O483" s="5"/>
      <c r="P483" s="5"/>
      <c r="Q483" s="5"/>
      <c r="R483" s="20"/>
      <c r="S483" s="5"/>
      <c r="T483" s="5"/>
    </row>
    <row r="484" spans="1:20" ht="15.75" customHeight="1">
      <c r="A484" s="19" t="str">
        <f t="shared" si="0"/>
        <v/>
      </c>
      <c r="B484" s="6"/>
      <c r="C484" s="20"/>
      <c r="D484" s="5"/>
      <c r="E484" s="7" t="str">
        <f t="array" ref="E484">IFERROR(INDEX(Base_Estudiantes!$A$4:$A$505,MATCH(D484,Base_Estudiantes!$C$4:$C$505,0)),"")</f>
        <v/>
      </c>
      <c r="F484" s="7" t="str">
        <f t="array" ref="F484">IFERROR(INDEX(Base_Estudiantes!$B$4:$B$505,MATCH(D484,Base_Estudiantes!$C$4:$C$505,0)),"")</f>
        <v/>
      </c>
      <c r="G484" s="7" t="str">
        <f t="array" ref="G484">IFERROR(INDEX(Base_Estudiantes!$D$4:$D$505,MATCH(D484,Base_Estudiantes!$C$4:$C$505,0)),"")</f>
        <v/>
      </c>
      <c r="H484" s="7" t="str">
        <f t="array" ref="H484">IFERROR(INDEX(Base_Estudiantes!$F$4:$F$505,MATCH(D484,Base_Estudiantes!$C$4:$C$505,0)),"")</f>
        <v/>
      </c>
      <c r="I484" s="7" t="str">
        <f t="array" ref="I484">IFERROR(INDEX(Base_Estudiantes!$G$4:$G$505,MATCH(D484,Base_Estudiantes!$C$4:$C$505,0)),"")</f>
        <v/>
      </c>
      <c r="J484" s="7" t="str">
        <f t="array" ref="J484">IFERROR(INDEX(Base_Estudiantes!$H$4:$H$505,MATCH(D484,Base_Estudiantes!$C$4:$C$505,0)),"")</f>
        <v/>
      </c>
      <c r="K484" s="5"/>
      <c r="L484" s="5"/>
      <c r="M484" s="5"/>
      <c r="N484" s="5"/>
      <c r="O484" s="5"/>
      <c r="P484" s="5"/>
      <c r="Q484" s="5"/>
      <c r="R484" s="20"/>
      <c r="S484" s="5"/>
      <c r="T484" s="5"/>
    </row>
    <row r="485" spans="1:20" ht="15.75" customHeight="1">
      <c r="A485" s="19" t="str">
        <f t="shared" si="0"/>
        <v/>
      </c>
      <c r="B485" s="6"/>
      <c r="C485" s="20"/>
      <c r="D485" s="5"/>
      <c r="E485" s="7" t="str">
        <f t="array" ref="E485">IFERROR(INDEX(Base_Estudiantes!$A$4:$A$505,MATCH(D485,Base_Estudiantes!$C$4:$C$505,0)),"")</f>
        <v/>
      </c>
      <c r="F485" s="7" t="str">
        <f t="array" ref="F485">IFERROR(INDEX(Base_Estudiantes!$B$4:$B$505,MATCH(D485,Base_Estudiantes!$C$4:$C$505,0)),"")</f>
        <v/>
      </c>
      <c r="G485" s="7" t="str">
        <f t="array" ref="G485">IFERROR(INDEX(Base_Estudiantes!$D$4:$D$505,MATCH(D485,Base_Estudiantes!$C$4:$C$505,0)),"")</f>
        <v/>
      </c>
      <c r="H485" s="7" t="str">
        <f t="array" ref="H485">IFERROR(INDEX(Base_Estudiantes!$F$4:$F$505,MATCH(D485,Base_Estudiantes!$C$4:$C$505,0)),"")</f>
        <v/>
      </c>
      <c r="I485" s="7" t="str">
        <f t="array" ref="I485">IFERROR(INDEX(Base_Estudiantes!$G$4:$G$505,MATCH(D485,Base_Estudiantes!$C$4:$C$505,0)),"")</f>
        <v/>
      </c>
      <c r="J485" s="7" t="str">
        <f t="array" ref="J485">IFERROR(INDEX(Base_Estudiantes!$H$4:$H$505,MATCH(D485,Base_Estudiantes!$C$4:$C$505,0)),"")</f>
        <v/>
      </c>
      <c r="K485" s="5"/>
      <c r="L485" s="5"/>
      <c r="M485" s="5"/>
      <c r="N485" s="5"/>
      <c r="O485" s="5"/>
      <c r="P485" s="5"/>
      <c r="Q485" s="5"/>
      <c r="R485" s="20"/>
      <c r="S485" s="5"/>
      <c r="T485" s="5"/>
    </row>
    <row r="486" spans="1:20" ht="15.75" customHeight="1">
      <c r="A486" s="19" t="str">
        <f t="shared" si="0"/>
        <v/>
      </c>
      <c r="B486" s="6"/>
      <c r="C486" s="20"/>
      <c r="D486" s="5"/>
      <c r="E486" s="7" t="str">
        <f t="array" ref="E486">IFERROR(INDEX(Base_Estudiantes!$A$4:$A$505,MATCH(D486,Base_Estudiantes!$C$4:$C$505,0)),"")</f>
        <v/>
      </c>
      <c r="F486" s="7" t="str">
        <f t="array" ref="F486">IFERROR(INDEX(Base_Estudiantes!$B$4:$B$505,MATCH(D486,Base_Estudiantes!$C$4:$C$505,0)),"")</f>
        <v/>
      </c>
      <c r="G486" s="7" t="str">
        <f t="array" ref="G486">IFERROR(INDEX(Base_Estudiantes!$D$4:$D$505,MATCH(D486,Base_Estudiantes!$C$4:$C$505,0)),"")</f>
        <v/>
      </c>
      <c r="H486" s="7" t="str">
        <f t="array" ref="H486">IFERROR(INDEX(Base_Estudiantes!$F$4:$F$505,MATCH(D486,Base_Estudiantes!$C$4:$C$505,0)),"")</f>
        <v/>
      </c>
      <c r="I486" s="7" t="str">
        <f t="array" ref="I486">IFERROR(INDEX(Base_Estudiantes!$G$4:$G$505,MATCH(D486,Base_Estudiantes!$C$4:$C$505,0)),"")</f>
        <v/>
      </c>
      <c r="J486" s="7" t="str">
        <f t="array" ref="J486">IFERROR(INDEX(Base_Estudiantes!$H$4:$H$505,MATCH(D486,Base_Estudiantes!$C$4:$C$505,0)),"")</f>
        <v/>
      </c>
      <c r="K486" s="5"/>
      <c r="L486" s="5"/>
      <c r="M486" s="5"/>
      <c r="N486" s="5"/>
      <c r="O486" s="5"/>
      <c r="P486" s="5"/>
      <c r="Q486" s="5"/>
      <c r="R486" s="20"/>
      <c r="S486" s="5"/>
      <c r="T486" s="5"/>
    </row>
    <row r="487" spans="1:20" ht="15.75" customHeight="1">
      <c r="A487" s="19" t="str">
        <f t="shared" si="0"/>
        <v/>
      </c>
      <c r="B487" s="6"/>
      <c r="C487" s="20"/>
      <c r="D487" s="5"/>
      <c r="E487" s="7" t="str">
        <f t="array" ref="E487">IFERROR(INDEX(Base_Estudiantes!$A$4:$A$505,MATCH(D487,Base_Estudiantes!$C$4:$C$505,0)),"")</f>
        <v/>
      </c>
      <c r="F487" s="7" t="str">
        <f t="array" ref="F487">IFERROR(INDEX(Base_Estudiantes!$B$4:$B$505,MATCH(D487,Base_Estudiantes!$C$4:$C$505,0)),"")</f>
        <v/>
      </c>
      <c r="G487" s="7" t="str">
        <f t="array" ref="G487">IFERROR(INDEX(Base_Estudiantes!$D$4:$D$505,MATCH(D487,Base_Estudiantes!$C$4:$C$505,0)),"")</f>
        <v/>
      </c>
      <c r="H487" s="7" t="str">
        <f t="array" ref="H487">IFERROR(INDEX(Base_Estudiantes!$F$4:$F$505,MATCH(D487,Base_Estudiantes!$C$4:$C$505,0)),"")</f>
        <v/>
      </c>
      <c r="I487" s="7" t="str">
        <f t="array" ref="I487">IFERROR(INDEX(Base_Estudiantes!$G$4:$G$505,MATCH(D487,Base_Estudiantes!$C$4:$C$505,0)),"")</f>
        <v/>
      </c>
      <c r="J487" s="7" t="str">
        <f t="array" ref="J487">IFERROR(INDEX(Base_Estudiantes!$H$4:$H$505,MATCH(D487,Base_Estudiantes!$C$4:$C$505,0)),"")</f>
        <v/>
      </c>
      <c r="K487" s="5"/>
      <c r="L487" s="5"/>
      <c r="M487" s="5"/>
      <c r="N487" s="5"/>
      <c r="O487" s="5"/>
      <c r="P487" s="5"/>
      <c r="Q487" s="5"/>
      <c r="R487" s="20"/>
      <c r="S487" s="5"/>
      <c r="T487" s="5"/>
    </row>
    <row r="488" spans="1:20" ht="15.75" customHeight="1">
      <c r="A488" s="19" t="str">
        <f t="shared" si="0"/>
        <v/>
      </c>
      <c r="B488" s="6"/>
      <c r="C488" s="20"/>
      <c r="D488" s="5"/>
      <c r="E488" s="7" t="str">
        <f t="array" ref="E488">IFERROR(INDEX(Base_Estudiantes!$A$4:$A$505,MATCH(D488,Base_Estudiantes!$C$4:$C$505,0)),"")</f>
        <v/>
      </c>
      <c r="F488" s="7" t="str">
        <f t="array" ref="F488">IFERROR(INDEX(Base_Estudiantes!$B$4:$B$505,MATCH(D488,Base_Estudiantes!$C$4:$C$505,0)),"")</f>
        <v/>
      </c>
      <c r="G488" s="7" t="str">
        <f t="array" ref="G488">IFERROR(INDEX(Base_Estudiantes!$D$4:$D$505,MATCH(D488,Base_Estudiantes!$C$4:$C$505,0)),"")</f>
        <v/>
      </c>
      <c r="H488" s="7" t="str">
        <f t="array" ref="H488">IFERROR(INDEX(Base_Estudiantes!$F$4:$F$505,MATCH(D488,Base_Estudiantes!$C$4:$C$505,0)),"")</f>
        <v/>
      </c>
      <c r="I488" s="7" t="str">
        <f t="array" ref="I488">IFERROR(INDEX(Base_Estudiantes!$G$4:$G$505,MATCH(D488,Base_Estudiantes!$C$4:$C$505,0)),"")</f>
        <v/>
      </c>
      <c r="J488" s="7" t="str">
        <f t="array" ref="J488">IFERROR(INDEX(Base_Estudiantes!$H$4:$H$505,MATCH(D488,Base_Estudiantes!$C$4:$C$505,0)),"")</f>
        <v/>
      </c>
      <c r="K488" s="5"/>
      <c r="L488" s="5"/>
      <c r="M488" s="5"/>
      <c r="N488" s="5"/>
      <c r="O488" s="5"/>
      <c r="P488" s="5"/>
      <c r="Q488" s="5"/>
      <c r="R488" s="20"/>
      <c r="S488" s="5"/>
      <c r="T488" s="5"/>
    </row>
    <row r="489" spans="1:20" ht="15.75" customHeight="1">
      <c r="A489" s="19" t="str">
        <f t="shared" si="0"/>
        <v/>
      </c>
      <c r="B489" s="6"/>
      <c r="C489" s="20"/>
      <c r="D489" s="5"/>
      <c r="E489" s="7" t="str">
        <f t="array" ref="E489">IFERROR(INDEX(Base_Estudiantes!$A$4:$A$505,MATCH(D489,Base_Estudiantes!$C$4:$C$505,0)),"")</f>
        <v/>
      </c>
      <c r="F489" s="7" t="str">
        <f t="array" ref="F489">IFERROR(INDEX(Base_Estudiantes!$B$4:$B$505,MATCH(D489,Base_Estudiantes!$C$4:$C$505,0)),"")</f>
        <v/>
      </c>
      <c r="G489" s="7" t="str">
        <f t="array" ref="G489">IFERROR(INDEX(Base_Estudiantes!$D$4:$D$505,MATCH(D489,Base_Estudiantes!$C$4:$C$505,0)),"")</f>
        <v/>
      </c>
      <c r="H489" s="7" t="str">
        <f t="array" ref="H489">IFERROR(INDEX(Base_Estudiantes!$F$4:$F$505,MATCH(D489,Base_Estudiantes!$C$4:$C$505,0)),"")</f>
        <v/>
      </c>
      <c r="I489" s="7" t="str">
        <f t="array" ref="I489">IFERROR(INDEX(Base_Estudiantes!$G$4:$G$505,MATCH(D489,Base_Estudiantes!$C$4:$C$505,0)),"")</f>
        <v/>
      </c>
      <c r="J489" s="7" t="str">
        <f t="array" ref="J489">IFERROR(INDEX(Base_Estudiantes!$H$4:$H$505,MATCH(D489,Base_Estudiantes!$C$4:$C$505,0)),"")</f>
        <v/>
      </c>
      <c r="K489" s="5"/>
      <c r="L489" s="5"/>
      <c r="M489" s="5"/>
      <c r="N489" s="5"/>
      <c r="O489" s="5"/>
      <c r="P489" s="5"/>
      <c r="Q489" s="5"/>
      <c r="R489" s="20"/>
      <c r="S489" s="5"/>
      <c r="T489" s="5"/>
    </row>
    <row r="490" spans="1:20" ht="15.75" customHeight="1">
      <c r="A490" s="19" t="str">
        <f t="shared" si="0"/>
        <v/>
      </c>
      <c r="B490" s="6"/>
      <c r="C490" s="20"/>
      <c r="D490" s="5"/>
      <c r="E490" s="7" t="str">
        <f t="array" ref="E490">IFERROR(INDEX(Base_Estudiantes!$A$4:$A$505,MATCH(D490,Base_Estudiantes!$C$4:$C$505,0)),"")</f>
        <v/>
      </c>
      <c r="F490" s="7" t="str">
        <f t="array" ref="F490">IFERROR(INDEX(Base_Estudiantes!$B$4:$B$505,MATCH(D490,Base_Estudiantes!$C$4:$C$505,0)),"")</f>
        <v/>
      </c>
      <c r="G490" s="7" t="str">
        <f t="array" ref="G490">IFERROR(INDEX(Base_Estudiantes!$D$4:$D$505,MATCH(D490,Base_Estudiantes!$C$4:$C$505,0)),"")</f>
        <v/>
      </c>
      <c r="H490" s="7" t="str">
        <f t="array" ref="H490">IFERROR(INDEX(Base_Estudiantes!$F$4:$F$505,MATCH(D490,Base_Estudiantes!$C$4:$C$505,0)),"")</f>
        <v/>
      </c>
      <c r="I490" s="7" t="str">
        <f t="array" ref="I490">IFERROR(INDEX(Base_Estudiantes!$G$4:$G$505,MATCH(D490,Base_Estudiantes!$C$4:$C$505,0)),"")</f>
        <v/>
      </c>
      <c r="J490" s="7" t="str">
        <f t="array" ref="J490">IFERROR(INDEX(Base_Estudiantes!$H$4:$H$505,MATCH(D490,Base_Estudiantes!$C$4:$C$505,0)),"")</f>
        <v/>
      </c>
      <c r="K490" s="5"/>
      <c r="L490" s="5"/>
      <c r="M490" s="5"/>
      <c r="N490" s="5"/>
      <c r="O490" s="5"/>
      <c r="P490" s="5"/>
      <c r="Q490" s="5"/>
      <c r="R490" s="20"/>
      <c r="S490" s="5"/>
      <c r="T490" s="5"/>
    </row>
    <row r="491" spans="1:20" ht="15.75" customHeight="1">
      <c r="A491" s="19" t="str">
        <f t="shared" si="0"/>
        <v/>
      </c>
      <c r="B491" s="6"/>
      <c r="C491" s="20"/>
      <c r="D491" s="5"/>
      <c r="E491" s="7" t="str">
        <f t="array" ref="E491">IFERROR(INDEX(Base_Estudiantes!$A$4:$A$505,MATCH(D491,Base_Estudiantes!$C$4:$C$505,0)),"")</f>
        <v/>
      </c>
      <c r="F491" s="7" t="str">
        <f t="array" ref="F491">IFERROR(INDEX(Base_Estudiantes!$B$4:$B$505,MATCH(D491,Base_Estudiantes!$C$4:$C$505,0)),"")</f>
        <v/>
      </c>
      <c r="G491" s="7" t="str">
        <f t="array" ref="G491">IFERROR(INDEX(Base_Estudiantes!$D$4:$D$505,MATCH(D491,Base_Estudiantes!$C$4:$C$505,0)),"")</f>
        <v/>
      </c>
      <c r="H491" s="7" t="str">
        <f t="array" ref="H491">IFERROR(INDEX(Base_Estudiantes!$F$4:$F$505,MATCH(D491,Base_Estudiantes!$C$4:$C$505,0)),"")</f>
        <v/>
      </c>
      <c r="I491" s="7" t="str">
        <f t="array" ref="I491">IFERROR(INDEX(Base_Estudiantes!$G$4:$G$505,MATCH(D491,Base_Estudiantes!$C$4:$C$505,0)),"")</f>
        <v/>
      </c>
      <c r="J491" s="7" t="str">
        <f t="array" ref="J491">IFERROR(INDEX(Base_Estudiantes!$H$4:$H$505,MATCH(D491,Base_Estudiantes!$C$4:$C$505,0)),"")</f>
        <v/>
      </c>
      <c r="K491" s="5"/>
      <c r="L491" s="5"/>
      <c r="M491" s="5"/>
      <c r="N491" s="5"/>
      <c r="O491" s="5"/>
      <c r="P491" s="5"/>
      <c r="Q491" s="5"/>
      <c r="R491" s="20"/>
      <c r="S491" s="5"/>
      <c r="T491" s="5"/>
    </row>
    <row r="492" spans="1:20" ht="15.75" customHeight="1">
      <c r="A492" s="19" t="str">
        <f t="shared" si="0"/>
        <v/>
      </c>
      <c r="B492" s="6"/>
      <c r="C492" s="20"/>
      <c r="D492" s="5"/>
      <c r="E492" s="7" t="str">
        <f t="array" ref="E492">IFERROR(INDEX(Base_Estudiantes!$A$4:$A$505,MATCH(D492,Base_Estudiantes!$C$4:$C$505,0)),"")</f>
        <v/>
      </c>
      <c r="F492" s="7" t="str">
        <f t="array" ref="F492">IFERROR(INDEX(Base_Estudiantes!$B$4:$B$505,MATCH(D492,Base_Estudiantes!$C$4:$C$505,0)),"")</f>
        <v/>
      </c>
      <c r="G492" s="7" t="str">
        <f t="array" ref="G492">IFERROR(INDEX(Base_Estudiantes!$D$4:$D$505,MATCH(D492,Base_Estudiantes!$C$4:$C$505,0)),"")</f>
        <v/>
      </c>
      <c r="H492" s="7" t="str">
        <f t="array" ref="H492">IFERROR(INDEX(Base_Estudiantes!$F$4:$F$505,MATCH(D492,Base_Estudiantes!$C$4:$C$505,0)),"")</f>
        <v/>
      </c>
      <c r="I492" s="7" t="str">
        <f t="array" ref="I492">IFERROR(INDEX(Base_Estudiantes!$G$4:$G$505,MATCH(D492,Base_Estudiantes!$C$4:$C$505,0)),"")</f>
        <v/>
      </c>
      <c r="J492" s="7" t="str">
        <f t="array" ref="J492">IFERROR(INDEX(Base_Estudiantes!$H$4:$H$505,MATCH(D492,Base_Estudiantes!$C$4:$C$505,0)),"")</f>
        <v/>
      </c>
      <c r="K492" s="5"/>
      <c r="L492" s="5"/>
      <c r="M492" s="5"/>
      <c r="N492" s="5"/>
      <c r="O492" s="5"/>
      <c r="P492" s="5"/>
      <c r="Q492" s="5"/>
      <c r="R492" s="20"/>
      <c r="S492" s="5"/>
      <c r="T492" s="5"/>
    </row>
    <row r="493" spans="1:20" ht="15.75" customHeight="1">
      <c r="A493" s="19" t="str">
        <f t="shared" si="0"/>
        <v/>
      </c>
      <c r="B493" s="6"/>
      <c r="C493" s="20"/>
      <c r="D493" s="5"/>
      <c r="E493" s="7" t="str">
        <f t="array" ref="E493">IFERROR(INDEX(Base_Estudiantes!$A$4:$A$505,MATCH(D493,Base_Estudiantes!$C$4:$C$505,0)),"")</f>
        <v/>
      </c>
      <c r="F493" s="7" t="str">
        <f t="array" ref="F493">IFERROR(INDEX(Base_Estudiantes!$B$4:$B$505,MATCH(D493,Base_Estudiantes!$C$4:$C$505,0)),"")</f>
        <v/>
      </c>
      <c r="G493" s="7" t="str">
        <f t="array" ref="G493">IFERROR(INDEX(Base_Estudiantes!$D$4:$D$505,MATCH(D493,Base_Estudiantes!$C$4:$C$505,0)),"")</f>
        <v/>
      </c>
      <c r="H493" s="7" t="str">
        <f t="array" ref="H493">IFERROR(INDEX(Base_Estudiantes!$F$4:$F$505,MATCH(D493,Base_Estudiantes!$C$4:$C$505,0)),"")</f>
        <v/>
      </c>
      <c r="I493" s="7" t="str">
        <f t="array" ref="I493">IFERROR(INDEX(Base_Estudiantes!$G$4:$G$505,MATCH(D493,Base_Estudiantes!$C$4:$C$505,0)),"")</f>
        <v/>
      </c>
      <c r="J493" s="7" t="str">
        <f t="array" ref="J493">IFERROR(INDEX(Base_Estudiantes!$H$4:$H$505,MATCH(D493,Base_Estudiantes!$C$4:$C$505,0)),"")</f>
        <v/>
      </c>
      <c r="K493" s="5"/>
      <c r="L493" s="5"/>
      <c r="M493" s="5"/>
      <c r="N493" s="5"/>
      <c r="O493" s="5"/>
      <c r="P493" s="5"/>
      <c r="Q493" s="5"/>
      <c r="R493" s="20"/>
      <c r="S493" s="5"/>
      <c r="T493" s="5"/>
    </row>
    <row r="494" spans="1:20" ht="15.75" customHeight="1">
      <c r="A494" s="19" t="str">
        <f t="shared" si="0"/>
        <v/>
      </c>
      <c r="B494" s="6"/>
      <c r="C494" s="20"/>
      <c r="D494" s="5"/>
      <c r="E494" s="7" t="str">
        <f t="array" ref="E494">IFERROR(INDEX(Base_Estudiantes!$A$4:$A$505,MATCH(D494,Base_Estudiantes!$C$4:$C$505,0)),"")</f>
        <v/>
      </c>
      <c r="F494" s="7" t="str">
        <f t="array" ref="F494">IFERROR(INDEX(Base_Estudiantes!$B$4:$B$505,MATCH(D494,Base_Estudiantes!$C$4:$C$505,0)),"")</f>
        <v/>
      </c>
      <c r="G494" s="7" t="str">
        <f t="array" ref="G494">IFERROR(INDEX(Base_Estudiantes!$D$4:$D$505,MATCH(D494,Base_Estudiantes!$C$4:$C$505,0)),"")</f>
        <v/>
      </c>
      <c r="H494" s="7" t="str">
        <f t="array" ref="H494">IFERROR(INDEX(Base_Estudiantes!$F$4:$F$505,MATCH(D494,Base_Estudiantes!$C$4:$C$505,0)),"")</f>
        <v/>
      </c>
      <c r="I494" s="7" t="str">
        <f t="array" ref="I494">IFERROR(INDEX(Base_Estudiantes!$G$4:$G$505,MATCH(D494,Base_Estudiantes!$C$4:$C$505,0)),"")</f>
        <v/>
      </c>
      <c r="J494" s="7" t="str">
        <f t="array" ref="J494">IFERROR(INDEX(Base_Estudiantes!$H$4:$H$505,MATCH(D494,Base_Estudiantes!$C$4:$C$505,0)),"")</f>
        <v/>
      </c>
      <c r="K494" s="5"/>
      <c r="L494" s="5"/>
      <c r="M494" s="5"/>
      <c r="N494" s="5"/>
      <c r="O494" s="5"/>
      <c r="P494" s="5"/>
      <c r="Q494" s="5"/>
      <c r="R494" s="20"/>
      <c r="S494" s="5"/>
      <c r="T494" s="5"/>
    </row>
    <row r="495" spans="1:20" ht="15.75" customHeight="1">
      <c r="A495" s="19" t="str">
        <f t="shared" si="0"/>
        <v/>
      </c>
      <c r="B495" s="6"/>
      <c r="C495" s="20"/>
      <c r="D495" s="5"/>
      <c r="E495" s="7" t="str">
        <f t="array" ref="E495">IFERROR(INDEX(Base_Estudiantes!$A$4:$A$505,MATCH(D495,Base_Estudiantes!$C$4:$C$505,0)),"")</f>
        <v/>
      </c>
      <c r="F495" s="7" t="str">
        <f t="array" ref="F495">IFERROR(INDEX(Base_Estudiantes!$B$4:$B$505,MATCH(D495,Base_Estudiantes!$C$4:$C$505,0)),"")</f>
        <v/>
      </c>
      <c r="G495" s="7" t="str">
        <f t="array" ref="G495">IFERROR(INDEX(Base_Estudiantes!$D$4:$D$505,MATCH(D495,Base_Estudiantes!$C$4:$C$505,0)),"")</f>
        <v/>
      </c>
      <c r="H495" s="7" t="str">
        <f t="array" ref="H495">IFERROR(INDEX(Base_Estudiantes!$F$4:$F$505,MATCH(D495,Base_Estudiantes!$C$4:$C$505,0)),"")</f>
        <v/>
      </c>
      <c r="I495" s="7" t="str">
        <f t="array" ref="I495">IFERROR(INDEX(Base_Estudiantes!$G$4:$G$505,MATCH(D495,Base_Estudiantes!$C$4:$C$505,0)),"")</f>
        <v/>
      </c>
      <c r="J495" s="7" t="str">
        <f t="array" ref="J495">IFERROR(INDEX(Base_Estudiantes!$H$4:$H$505,MATCH(D495,Base_Estudiantes!$C$4:$C$505,0)),"")</f>
        <v/>
      </c>
      <c r="K495" s="5"/>
      <c r="L495" s="5"/>
      <c r="M495" s="5"/>
      <c r="N495" s="5"/>
      <c r="O495" s="5"/>
      <c r="P495" s="5"/>
      <c r="Q495" s="5"/>
      <c r="R495" s="20"/>
      <c r="S495" s="5"/>
      <c r="T495" s="5"/>
    </row>
    <row r="496" spans="1:20" ht="15.75" customHeight="1">
      <c r="A496" s="19" t="str">
        <f t="shared" si="0"/>
        <v/>
      </c>
      <c r="B496" s="6"/>
      <c r="C496" s="20"/>
      <c r="D496" s="5"/>
      <c r="E496" s="7" t="str">
        <f t="array" ref="E496">IFERROR(INDEX(Base_Estudiantes!$A$4:$A$505,MATCH(D496,Base_Estudiantes!$C$4:$C$505,0)),"")</f>
        <v/>
      </c>
      <c r="F496" s="7" t="str">
        <f t="array" ref="F496">IFERROR(INDEX(Base_Estudiantes!$B$4:$B$505,MATCH(D496,Base_Estudiantes!$C$4:$C$505,0)),"")</f>
        <v/>
      </c>
      <c r="G496" s="7" t="str">
        <f t="array" ref="G496">IFERROR(INDEX(Base_Estudiantes!$D$4:$D$505,MATCH(D496,Base_Estudiantes!$C$4:$C$505,0)),"")</f>
        <v/>
      </c>
      <c r="H496" s="7" t="str">
        <f t="array" ref="H496">IFERROR(INDEX(Base_Estudiantes!$F$4:$F$505,MATCH(D496,Base_Estudiantes!$C$4:$C$505,0)),"")</f>
        <v/>
      </c>
      <c r="I496" s="7" t="str">
        <f t="array" ref="I496">IFERROR(INDEX(Base_Estudiantes!$G$4:$G$505,MATCH(D496,Base_Estudiantes!$C$4:$C$505,0)),"")</f>
        <v/>
      </c>
      <c r="J496" s="7" t="str">
        <f t="array" ref="J496">IFERROR(INDEX(Base_Estudiantes!$H$4:$H$505,MATCH(D496,Base_Estudiantes!$C$4:$C$505,0)),"")</f>
        <v/>
      </c>
      <c r="K496" s="5"/>
      <c r="L496" s="5"/>
      <c r="M496" s="5"/>
      <c r="N496" s="5"/>
      <c r="O496" s="5"/>
      <c r="P496" s="5"/>
      <c r="Q496" s="5"/>
      <c r="R496" s="20"/>
      <c r="S496" s="5"/>
      <c r="T496" s="5"/>
    </row>
    <row r="497" spans="1:20" ht="15.75" customHeight="1">
      <c r="A497" s="19" t="str">
        <f t="shared" si="0"/>
        <v/>
      </c>
      <c r="B497" s="6"/>
      <c r="C497" s="20"/>
      <c r="D497" s="5"/>
      <c r="E497" s="7" t="str">
        <f t="array" ref="E497">IFERROR(INDEX(Base_Estudiantes!$A$4:$A$505,MATCH(D497,Base_Estudiantes!$C$4:$C$505,0)),"")</f>
        <v/>
      </c>
      <c r="F497" s="7" t="str">
        <f t="array" ref="F497">IFERROR(INDEX(Base_Estudiantes!$B$4:$B$505,MATCH(D497,Base_Estudiantes!$C$4:$C$505,0)),"")</f>
        <v/>
      </c>
      <c r="G497" s="7" t="str">
        <f t="array" ref="G497">IFERROR(INDEX(Base_Estudiantes!$D$4:$D$505,MATCH(D497,Base_Estudiantes!$C$4:$C$505,0)),"")</f>
        <v/>
      </c>
      <c r="H497" s="7" t="str">
        <f t="array" ref="H497">IFERROR(INDEX(Base_Estudiantes!$F$4:$F$505,MATCH(D497,Base_Estudiantes!$C$4:$C$505,0)),"")</f>
        <v/>
      </c>
      <c r="I497" s="7" t="str">
        <f t="array" ref="I497">IFERROR(INDEX(Base_Estudiantes!$G$4:$G$505,MATCH(D497,Base_Estudiantes!$C$4:$C$505,0)),"")</f>
        <v/>
      </c>
      <c r="J497" s="7" t="str">
        <f t="array" ref="J497">IFERROR(INDEX(Base_Estudiantes!$H$4:$H$505,MATCH(D497,Base_Estudiantes!$C$4:$C$505,0)),"")</f>
        <v/>
      </c>
      <c r="K497" s="5"/>
      <c r="L497" s="5"/>
      <c r="M497" s="5"/>
      <c r="N497" s="5"/>
      <c r="O497" s="5"/>
      <c r="P497" s="5"/>
      <c r="Q497" s="5"/>
      <c r="R497" s="20"/>
      <c r="S497" s="5"/>
      <c r="T497" s="5"/>
    </row>
    <row r="498" spans="1:20" ht="15.75" customHeight="1">
      <c r="A498" s="19" t="str">
        <f t="shared" si="0"/>
        <v/>
      </c>
      <c r="B498" s="6"/>
      <c r="C498" s="20"/>
      <c r="D498" s="5"/>
      <c r="E498" s="7" t="str">
        <f t="array" ref="E498">IFERROR(INDEX(Base_Estudiantes!$A$4:$A$505,MATCH(D498,Base_Estudiantes!$C$4:$C$505,0)),"")</f>
        <v/>
      </c>
      <c r="F498" s="7" t="str">
        <f t="array" ref="F498">IFERROR(INDEX(Base_Estudiantes!$B$4:$B$505,MATCH(D498,Base_Estudiantes!$C$4:$C$505,0)),"")</f>
        <v/>
      </c>
      <c r="G498" s="7" t="str">
        <f t="array" ref="G498">IFERROR(INDEX(Base_Estudiantes!$D$4:$D$505,MATCH(D498,Base_Estudiantes!$C$4:$C$505,0)),"")</f>
        <v/>
      </c>
      <c r="H498" s="7" t="str">
        <f t="array" ref="H498">IFERROR(INDEX(Base_Estudiantes!$F$4:$F$505,MATCH(D498,Base_Estudiantes!$C$4:$C$505,0)),"")</f>
        <v/>
      </c>
      <c r="I498" s="7" t="str">
        <f t="array" ref="I498">IFERROR(INDEX(Base_Estudiantes!$G$4:$G$505,MATCH(D498,Base_Estudiantes!$C$4:$C$505,0)),"")</f>
        <v/>
      </c>
      <c r="J498" s="7" t="str">
        <f t="array" ref="J498">IFERROR(INDEX(Base_Estudiantes!$H$4:$H$505,MATCH(D498,Base_Estudiantes!$C$4:$C$505,0)),"")</f>
        <v/>
      </c>
      <c r="K498" s="5"/>
      <c r="L498" s="5"/>
      <c r="M498" s="5"/>
      <c r="N498" s="5"/>
      <c r="O498" s="5"/>
      <c r="P498" s="5"/>
      <c r="Q498" s="5"/>
      <c r="R498" s="20"/>
      <c r="S498" s="5"/>
      <c r="T498" s="5"/>
    </row>
    <row r="499" spans="1:20" ht="15.75" customHeight="1">
      <c r="A499" s="19" t="str">
        <f t="shared" si="0"/>
        <v/>
      </c>
      <c r="B499" s="6"/>
      <c r="C499" s="20"/>
      <c r="D499" s="5"/>
      <c r="E499" s="7" t="str">
        <f t="array" ref="E499">IFERROR(INDEX(Base_Estudiantes!$A$4:$A$505,MATCH(D499,Base_Estudiantes!$C$4:$C$505,0)),"")</f>
        <v/>
      </c>
      <c r="F499" s="7" t="str">
        <f t="array" ref="F499">IFERROR(INDEX(Base_Estudiantes!$B$4:$B$505,MATCH(D499,Base_Estudiantes!$C$4:$C$505,0)),"")</f>
        <v/>
      </c>
      <c r="G499" s="7" t="str">
        <f t="array" ref="G499">IFERROR(INDEX(Base_Estudiantes!$D$4:$D$505,MATCH(D499,Base_Estudiantes!$C$4:$C$505,0)),"")</f>
        <v/>
      </c>
      <c r="H499" s="7" t="str">
        <f t="array" ref="H499">IFERROR(INDEX(Base_Estudiantes!$F$4:$F$505,MATCH(D499,Base_Estudiantes!$C$4:$C$505,0)),"")</f>
        <v/>
      </c>
      <c r="I499" s="7" t="str">
        <f t="array" ref="I499">IFERROR(INDEX(Base_Estudiantes!$G$4:$G$505,MATCH(D499,Base_Estudiantes!$C$4:$C$505,0)),"")</f>
        <v/>
      </c>
      <c r="J499" s="7" t="str">
        <f t="array" ref="J499">IFERROR(INDEX(Base_Estudiantes!$H$4:$H$505,MATCH(D499,Base_Estudiantes!$C$4:$C$505,0)),"")</f>
        <v/>
      </c>
      <c r="K499" s="5"/>
      <c r="L499" s="5"/>
      <c r="M499" s="5"/>
      <c r="N499" s="5"/>
      <c r="O499" s="5"/>
      <c r="P499" s="5"/>
      <c r="Q499" s="5"/>
      <c r="R499" s="20"/>
      <c r="S499" s="5"/>
      <c r="T499" s="5"/>
    </row>
    <row r="500" spans="1:20" ht="15.75" customHeight="1">
      <c r="A500" s="19" t="str">
        <f t="shared" si="0"/>
        <v/>
      </c>
      <c r="B500" s="6"/>
      <c r="C500" s="20"/>
      <c r="D500" s="5"/>
      <c r="E500" s="7" t="str">
        <f t="array" ref="E500">IFERROR(INDEX(Base_Estudiantes!$A$4:$A$505,MATCH(D500,Base_Estudiantes!$C$4:$C$505,0)),"")</f>
        <v/>
      </c>
      <c r="F500" s="7" t="str">
        <f t="array" ref="F500">IFERROR(INDEX(Base_Estudiantes!$B$4:$B$505,MATCH(D500,Base_Estudiantes!$C$4:$C$505,0)),"")</f>
        <v/>
      </c>
      <c r="G500" s="7" t="str">
        <f t="array" ref="G500">IFERROR(INDEX(Base_Estudiantes!$D$4:$D$505,MATCH(D500,Base_Estudiantes!$C$4:$C$505,0)),"")</f>
        <v/>
      </c>
      <c r="H500" s="7" t="str">
        <f t="array" ref="H500">IFERROR(INDEX(Base_Estudiantes!$F$4:$F$505,MATCH(D500,Base_Estudiantes!$C$4:$C$505,0)),"")</f>
        <v/>
      </c>
      <c r="I500" s="7" t="str">
        <f t="array" ref="I500">IFERROR(INDEX(Base_Estudiantes!$G$4:$G$505,MATCH(D500,Base_Estudiantes!$C$4:$C$505,0)),"")</f>
        <v/>
      </c>
      <c r="J500" s="7" t="str">
        <f t="array" ref="J500">IFERROR(INDEX(Base_Estudiantes!$H$4:$H$505,MATCH(D500,Base_Estudiantes!$C$4:$C$505,0)),"")</f>
        <v/>
      </c>
      <c r="K500" s="5"/>
      <c r="L500" s="5"/>
      <c r="M500" s="5"/>
      <c r="N500" s="5"/>
      <c r="O500" s="5"/>
      <c r="P500" s="5"/>
      <c r="Q500" s="5"/>
      <c r="R500" s="20"/>
      <c r="S500" s="5"/>
      <c r="T500" s="5"/>
    </row>
    <row r="501" spans="1:20" ht="15.75" customHeight="1">
      <c r="A501" s="19" t="str">
        <f t="shared" si="0"/>
        <v/>
      </c>
      <c r="B501" s="6"/>
      <c r="C501" s="20"/>
      <c r="D501" s="5"/>
      <c r="E501" s="7" t="str">
        <f t="array" ref="E501">IFERROR(INDEX(Base_Estudiantes!$A$4:$A$505,MATCH(D501,Base_Estudiantes!$C$4:$C$505,0)),"")</f>
        <v/>
      </c>
      <c r="F501" s="7" t="str">
        <f t="array" ref="F501">IFERROR(INDEX(Base_Estudiantes!$B$4:$B$505,MATCH(D501,Base_Estudiantes!$C$4:$C$505,0)),"")</f>
        <v/>
      </c>
      <c r="G501" s="7" t="str">
        <f t="array" ref="G501">IFERROR(INDEX(Base_Estudiantes!$D$4:$D$505,MATCH(D501,Base_Estudiantes!$C$4:$C$505,0)),"")</f>
        <v/>
      </c>
      <c r="H501" s="7" t="str">
        <f t="array" ref="H501">IFERROR(INDEX(Base_Estudiantes!$F$4:$F$505,MATCH(D501,Base_Estudiantes!$C$4:$C$505,0)),"")</f>
        <v/>
      </c>
      <c r="I501" s="7" t="str">
        <f t="array" ref="I501">IFERROR(INDEX(Base_Estudiantes!$G$4:$G$505,MATCH(D501,Base_Estudiantes!$C$4:$C$505,0)),"")</f>
        <v/>
      </c>
      <c r="J501" s="7" t="str">
        <f t="array" ref="J501">IFERROR(INDEX(Base_Estudiantes!$H$4:$H$505,MATCH(D501,Base_Estudiantes!$C$4:$C$505,0)),"")</f>
        <v/>
      </c>
      <c r="K501" s="5"/>
      <c r="L501" s="5"/>
      <c r="M501" s="5"/>
      <c r="N501" s="5"/>
      <c r="O501" s="5"/>
      <c r="P501" s="5"/>
      <c r="Q501" s="5"/>
      <c r="R501" s="20"/>
      <c r="S501" s="5"/>
      <c r="T501" s="5"/>
    </row>
    <row r="502" spans="1:20" ht="15.75" customHeight="1">
      <c r="A502" s="19" t="str">
        <f t="shared" si="0"/>
        <v/>
      </c>
      <c r="B502" s="6"/>
      <c r="C502" s="20"/>
      <c r="D502" s="5"/>
      <c r="E502" s="7" t="str">
        <f t="array" ref="E502">IFERROR(INDEX(Base_Estudiantes!$A$4:$A$505,MATCH(D502,Base_Estudiantes!$C$4:$C$505,0)),"")</f>
        <v/>
      </c>
      <c r="F502" s="7" t="str">
        <f t="array" ref="F502">IFERROR(INDEX(Base_Estudiantes!$B$4:$B$505,MATCH(D502,Base_Estudiantes!$C$4:$C$505,0)),"")</f>
        <v/>
      </c>
      <c r="G502" s="7" t="str">
        <f t="array" ref="G502">IFERROR(INDEX(Base_Estudiantes!$D$4:$D$505,MATCH(D502,Base_Estudiantes!$C$4:$C$505,0)),"")</f>
        <v/>
      </c>
      <c r="H502" s="7" t="str">
        <f t="array" ref="H502">IFERROR(INDEX(Base_Estudiantes!$F$4:$F$505,MATCH(D502,Base_Estudiantes!$C$4:$C$505,0)),"")</f>
        <v/>
      </c>
      <c r="I502" s="7" t="str">
        <f t="array" ref="I502">IFERROR(INDEX(Base_Estudiantes!$G$4:$G$505,MATCH(D502,Base_Estudiantes!$C$4:$C$505,0)),"")</f>
        <v/>
      </c>
      <c r="J502" s="7" t="str">
        <f t="array" ref="J502">IFERROR(INDEX(Base_Estudiantes!$H$4:$H$505,MATCH(D502,Base_Estudiantes!$C$4:$C$505,0)),"")</f>
        <v/>
      </c>
      <c r="K502" s="5"/>
      <c r="L502" s="5"/>
      <c r="M502" s="5"/>
      <c r="N502" s="5"/>
      <c r="O502" s="5"/>
      <c r="P502" s="5"/>
      <c r="Q502" s="5"/>
      <c r="R502" s="20"/>
      <c r="S502" s="5"/>
      <c r="T502" s="5"/>
    </row>
    <row r="503" spans="1:20" ht="15.75" customHeight="1">
      <c r="A503" s="19" t="str">
        <f t="shared" si="0"/>
        <v/>
      </c>
      <c r="B503" s="6"/>
      <c r="C503" s="20"/>
      <c r="D503" s="5"/>
      <c r="E503" s="7" t="str">
        <f t="array" ref="E503">IFERROR(INDEX(Base_Estudiantes!$A$4:$A$505,MATCH(D503,Base_Estudiantes!$C$4:$C$505,0)),"")</f>
        <v/>
      </c>
      <c r="F503" s="7" t="str">
        <f t="array" ref="F503">IFERROR(INDEX(Base_Estudiantes!$B$4:$B$505,MATCH(D503,Base_Estudiantes!$C$4:$C$505,0)),"")</f>
        <v/>
      </c>
      <c r="G503" s="7" t="str">
        <f t="array" ref="G503">IFERROR(INDEX(Base_Estudiantes!$D$4:$D$505,MATCH(D503,Base_Estudiantes!$C$4:$C$505,0)),"")</f>
        <v/>
      </c>
      <c r="H503" s="7" t="str">
        <f t="array" ref="H503">IFERROR(INDEX(Base_Estudiantes!$F$4:$F$505,MATCH(D503,Base_Estudiantes!$C$4:$C$505,0)),"")</f>
        <v/>
      </c>
      <c r="I503" s="7" t="str">
        <f t="array" ref="I503">IFERROR(INDEX(Base_Estudiantes!$G$4:$G$505,MATCH(D503,Base_Estudiantes!$C$4:$C$505,0)),"")</f>
        <v/>
      </c>
      <c r="J503" s="7" t="str">
        <f t="array" ref="J503">IFERROR(INDEX(Base_Estudiantes!$H$4:$H$505,MATCH(D503,Base_Estudiantes!$C$4:$C$505,0)),"")</f>
        <v/>
      </c>
      <c r="K503" s="5"/>
      <c r="L503" s="5"/>
      <c r="M503" s="5"/>
      <c r="N503" s="5"/>
      <c r="O503" s="5"/>
      <c r="P503" s="5"/>
      <c r="Q503" s="5"/>
      <c r="R503" s="20"/>
      <c r="S503" s="5"/>
      <c r="T503" s="5"/>
    </row>
    <row r="504" spans="1:20" ht="15.75" customHeight="1">
      <c r="A504" s="19" t="str">
        <f t="shared" si="0"/>
        <v/>
      </c>
      <c r="B504" s="6"/>
      <c r="C504" s="20"/>
      <c r="D504" s="5"/>
      <c r="E504" s="7" t="str">
        <f t="array" ref="E504">IFERROR(INDEX(Base_Estudiantes!$A$4:$A$505,MATCH(D504,Base_Estudiantes!$C$4:$C$505,0)),"")</f>
        <v/>
      </c>
      <c r="F504" s="7" t="str">
        <f t="array" ref="F504">IFERROR(INDEX(Base_Estudiantes!$B$4:$B$505,MATCH(D504,Base_Estudiantes!$C$4:$C$505,0)),"")</f>
        <v/>
      </c>
      <c r="G504" s="7" t="str">
        <f t="array" ref="G504">IFERROR(INDEX(Base_Estudiantes!$D$4:$D$505,MATCH(D504,Base_Estudiantes!$C$4:$C$505,0)),"")</f>
        <v/>
      </c>
      <c r="H504" s="7" t="str">
        <f t="array" ref="H504">IFERROR(INDEX(Base_Estudiantes!$F$4:$F$505,MATCH(D504,Base_Estudiantes!$C$4:$C$505,0)),"")</f>
        <v/>
      </c>
      <c r="I504" s="7" t="str">
        <f t="array" ref="I504">IFERROR(INDEX(Base_Estudiantes!$G$4:$G$505,MATCH(D504,Base_Estudiantes!$C$4:$C$505,0)),"")</f>
        <v/>
      </c>
      <c r="J504" s="7" t="str">
        <f t="array" ref="J504">IFERROR(INDEX(Base_Estudiantes!$H$4:$H$505,MATCH(D504,Base_Estudiantes!$C$4:$C$505,0)),"")</f>
        <v/>
      </c>
      <c r="K504" s="5"/>
      <c r="L504" s="5"/>
      <c r="M504" s="5"/>
      <c r="N504" s="5"/>
      <c r="O504" s="5"/>
      <c r="P504" s="5"/>
      <c r="Q504" s="5"/>
      <c r="R504" s="20"/>
      <c r="S504" s="5"/>
      <c r="T504" s="5"/>
    </row>
    <row r="505" spans="1:20" ht="15.75" customHeight="1">
      <c r="A505" s="19" t="str">
        <f t="shared" si="0"/>
        <v/>
      </c>
      <c r="B505" s="6"/>
      <c r="C505" s="20"/>
      <c r="D505" s="5"/>
      <c r="E505" s="7" t="str">
        <f t="array" ref="E505">IFERROR(INDEX(Base_Estudiantes!$A$4:$A$505,MATCH(D505,Base_Estudiantes!$C$4:$C$505,0)),"")</f>
        <v/>
      </c>
      <c r="F505" s="7" t="str">
        <f t="array" ref="F505">IFERROR(INDEX(Base_Estudiantes!$B$4:$B$505,MATCH(D505,Base_Estudiantes!$C$4:$C$505,0)),"")</f>
        <v/>
      </c>
      <c r="G505" s="7" t="str">
        <f t="array" ref="G505">IFERROR(INDEX(Base_Estudiantes!$D$4:$D$505,MATCH(D505,Base_Estudiantes!$C$4:$C$505,0)),"")</f>
        <v/>
      </c>
      <c r="H505" s="7" t="str">
        <f t="array" ref="H505">IFERROR(INDEX(Base_Estudiantes!$F$4:$F$505,MATCH(D505,Base_Estudiantes!$C$4:$C$505,0)),"")</f>
        <v/>
      </c>
      <c r="I505" s="7" t="str">
        <f t="array" ref="I505">IFERROR(INDEX(Base_Estudiantes!$G$4:$G$505,MATCH(D505,Base_Estudiantes!$C$4:$C$505,0)),"")</f>
        <v/>
      </c>
      <c r="J505" s="7" t="str">
        <f t="array" ref="J505">IFERROR(INDEX(Base_Estudiantes!$H$4:$H$505,MATCH(D505,Base_Estudiantes!$C$4:$C$505,0)),"")</f>
        <v/>
      </c>
      <c r="K505" s="5"/>
      <c r="L505" s="5"/>
      <c r="M505" s="5"/>
      <c r="N505" s="5"/>
      <c r="O505" s="5"/>
      <c r="P505" s="5"/>
      <c r="Q505" s="5"/>
      <c r="R505" s="20"/>
      <c r="S505" s="5"/>
      <c r="T505" s="5"/>
    </row>
    <row r="506" spans="1:20" ht="15.75" customHeight="1">
      <c r="A506" s="19" t="str">
        <f t="shared" si="0"/>
        <v/>
      </c>
      <c r="B506" s="6"/>
      <c r="C506" s="20"/>
      <c r="D506" s="5"/>
      <c r="E506" s="7" t="str">
        <f t="array" ref="E506">IFERROR(INDEX(Base_Estudiantes!$A$4:$A$505,MATCH(D506,Base_Estudiantes!$C$4:$C$505,0)),"")</f>
        <v/>
      </c>
      <c r="F506" s="7" t="str">
        <f t="array" ref="F506">IFERROR(INDEX(Base_Estudiantes!$B$4:$B$505,MATCH(D506,Base_Estudiantes!$C$4:$C$505,0)),"")</f>
        <v/>
      </c>
      <c r="G506" s="7" t="str">
        <f t="array" ref="G506">IFERROR(INDEX(Base_Estudiantes!$D$4:$D$505,MATCH(D506,Base_Estudiantes!$C$4:$C$505,0)),"")</f>
        <v/>
      </c>
      <c r="H506" s="7" t="str">
        <f t="array" ref="H506">IFERROR(INDEX(Base_Estudiantes!$F$4:$F$505,MATCH(D506,Base_Estudiantes!$C$4:$C$505,0)),"")</f>
        <v/>
      </c>
      <c r="I506" s="7" t="str">
        <f t="array" ref="I506">IFERROR(INDEX(Base_Estudiantes!$G$4:$G$505,MATCH(D506,Base_Estudiantes!$C$4:$C$505,0)),"")</f>
        <v/>
      </c>
      <c r="J506" s="7" t="str">
        <f t="array" ref="J506">IFERROR(INDEX(Base_Estudiantes!$H$4:$H$505,MATCH(D506,Base_Estudiantes!$C$4:$C$505,0)),"")</f>
        <v/>
      </c>
      <c r="K506" s="5"/>
      <c r="L506" s="5"/>
      <c r="M506" s="5"/>
      <c r="N506" s="5"/>
      <c r="O506" s="5"/>
      <c r="P506" s="5"/>
      <c r="Q506" s="5"/>
      <c r="R506" s="20"/>
      <c r="S506" s="5"/>
      <c r="T506" s="5"/>
    </row>
    <row r="507" spans="1:20" ht="15.75" customHeight="1">
      <c r="A507" s="19" t="str">
        <f t="shared" si="0"/>
        <v/>
      </c>
      <c r="B507" s="6"/>
      <c r="C507" s="20"/>
      <c r="D507" s="5"/>
      <c r="E507" s="7" t="str">
        <f t="array" ref="E507">IFERROR(INDEX(Base_Estudiantes!$A$4:$A$505,MATCH(D507,Base_Estudiantes!$C$4:$C$505,0)),"")</f>
        <v/>
      </c>
      <c r="F507" s="7" t="str">
        <f t="array" ref="F507">IFERROR(INDEX(Base_Estudiantes!$B$4:$B$505,MATCH(D507,Base_Estudiantes!$C$4:$C$505,0)),"")</f>
        <v/>
      </c>
      <c r="G507" s="7" t="str">
        <f t="array" ref="G507">IFERROR(INDEX(Base_Estudiantes!$D$4:$D$505,MATCH(D507,Base_Estudiantes!$C$4:$C$505,0)),"")</f>
        <v/>
      </c>
      <c r="H507" s="7" t="str">
        <f t="array" ref="H507">IFERROR(INDEX(Base_Estudiantes!$F$4:$F$505,MATCH(D507,Base_Estudiantes!$C$4:$C$505,0)),"")</f>
        <v/>
      </c>
      <c r="I507" s="7" t="str">
        <f t="array" ref="I507">IFERROR(INDEX(Base_Estudiantes!$G$4:$G$505,MATCH(D507,Base_Estudiantes!$C$4:$C$505,0)),"")</f>
        <v/>
      </c>
      <c r="J507" s="7" t="str">
        <f t="array" ref="J507">IFERROR(INDEX(Base_Estudiantes!$H$4:$H$505,MATCH(D507,Base_Estudiantes!$C$4:$C$505,0)),"")</f>
        <v/>
      </c>
      <c r="K507" s="5"/>
      <c r="L507" s="5"/>
      <c r="M507" s="5"/>
      <c r="N507" s="5"/>
      <c r="O507" s="5"/>
      <c r="P507" s="5"/>
      <c r="Q507" s="5"/>
      <c r="R507" s="20"/>
      <c r="S507" s="5"/>
      <c r="T507" s="5"/>
    </row>
    <row r="508" spans="1:20" ht="15.75" customHeight="1">
      <c r="A508" s="19" t="str">
        <f t="shared" si="0"/>
        <v/>
      </c>
      <c r="B508" s="6"/>
      <c r="C508" s="20"/>
      <c r="D508" s="5"/>
      <c r="E508" s="7" t="str">
        <f t="array" ref="E508">IFERROR(INDEX(Base_Estudiantes!$A$4:$A$505,MATCH(D508,Base_Estudiantes!$C$4:$C$505,0)),"")</f>
        <v/>
      </c>
      <c r="F508" s="7" t="str">
        <f t="array" ref="F508">IFERROR(INDEX(Base_Estudiantes!$B$4:$B$505,MATCH(D508,Base_Estudiantes!$C$4:$C$505,0)),"")</f>
        <v/>
      </c>
      <c r="G508" s="7" t="str">
        <f t="array" ref="G508">IFERROR(INDEX(Base_Estudiantes!$D$4:$D$505,MATCH(D508,Base_Estudiantes!$C$4:$C$505,0)),"")</f>
        <v/>
      </c>
      <c r="H508" s="7" t="str">
        <f t="array" ref="H508">IFERROR(INDEX(Base_Estudiantes!$F$4:$F$505,MATCH(D508,Base_Estudiantes!$C$4:$C$505,0)),"")</f>
        <v/>
      </c>
      <c r="I508" s="7" t="str">
        <f t="array" ref="I508">IFERROR(INDEX(Base_Estudiantes!$G$4:$G$505,MATCH(D508,Base_Estudiantes!$C$4:$C$505,0)),"")</f>
        <v/>
      </c>
      <c r="J508" s="7" t="str">
        <f t="array" ref="J508">IFERROR(INDEX(Base_Estudiantes!$H$4:$H$505,MATCH(D508,Base_Estudiantes!$C$4:$C$505,0)),"")</f>
        <v/>
      </c>
      <c r="K508" s="5"/>
      <c r="L508" s="5"/>
      <c r="M508" s="5"/>
      <c r="N508" s="5"/>
      <c r="O508" s="5"/>
      <c r="P508" s="5"/>
      <c r="Q508" s="5"/>
      <c r="R508" s="20"/>
      <c r="S508" s="5"/>
      <c r="T508" s="5"/>
    </row>
    <row r="509" spans="1:20" ht="15.75" customHeight="1">
      <c r="A509" s="19" t="str">
        <f t="shared" si="0"/>
        <v/>
      </c>
      <c r="B509" s="6"/>
      <c r="C509" s="20"/>
      <c r="D509" s="5"/>
      <c r="E509" s="7" t="str">
        <f t="array" ref="E509">IFERROR(INDEX(Base_Estudiantes!$A$4:$A$505,MATCH(D509,Base_Estudiantes!$C$4:$C$505,0)),"")</f>
        <v/>
      </c>
      <c r="F509" s="7" t="str">
        <f t="array" ref="F509">IFERROR(INDEX(Base_Estudiantes!$B$4:$B$505,MATCH(D509,Base_Estudiantes!$C$4:$C$505,0)),"")</f>
        <v/>
      </c>
      <c r="G509" s="7" t="str">
        <f t="array" ref="G509">IFERROR(INDEX(Base_Estudiantes!$D$4:$D$505,MATCH(D509,Base_Estudiantes!$C$4:$C$505,0)),"")</f>
        <v/>
      </c>
      <c r="H509" s="7" t="str">
        <f t="array" ref="H509">IFERROR(INDEX(Base_Estudiantes!$F$4:$F$505,MATCH(D509,Base_Estudiantes!$C$4:$C$505,0)),"")</f>
        <v/>
      </c>
      <c r="I509" s="7" t="str">
        <f t="array" ref="I509">IFERROR(INDEX(Base_Estudiantes!$G$4:$G$505,MATCH(D509,Base_Estudiantes!$C$4:$C$505,0)),"")</f>
        <v/>
      </c>
      <c r="J509" s="7" t="str">
        <f t="array" ref="J509">IFERROR(INDEX(Base_Estudiantes!$H$4:$H$505,MATCH(D509,Base_Estudiantes!$C$4:$C$505,0)),"")</f>
        <v/>
      </c>
      <c r="K509" s="5"/>
      <c r="L509" s="5"/>
      <c r="M509" s="5"/>
      <c r="N509" s="5"/>
      <c r="O509" s="5"/>
      <c r="P509" s="5"/>
      <c r="Q509" s="5"/>
      <c r="R509" s="20"/>
      <c r="S509" s="5"/>
      <c r="T509" s="5"/>
    </row>
    <row r="510" spans="1:20" ht="15.75" customHeight="1">
      <c r="A510" s="19" t="str">
        <f t="shared" si="0"/>
        <v/>
      </c>
      <c r="B510" s="6"/>
      <c r="C510" s="20"/>
      <c r="D510" s="5"/>
      <c r="E510" s="7" t="str">
        <f t="array" ref="E510">IFERROR(INDEX(Base_Estudiantes!$A$4:$A$505,MATCH(D510,Base_Estudiantes!$C$4:$C$505,0)),"")</f>
        <v/>
      </c>
      <c r="F510" s="7" t="str">
        <f t="array" ref="F510">IFERROR(INDEX(Base_Estudiantes!$B$4:$B$505,MATCH(D510,Base_Estudiantes!$C$4:$C$505,0)),"")</f>
        <v/>
      </c>
      <c r="G510" s="7" t="str">
        <f t="array" ref="G510">IFERROR(INDEX(Base_Estudiantes!$D$4:$D$505,MATCH(D510,Base_Estudiantes!$C$4:$C$505,0)),"")</f>
        <v/>
      </c>
      <c r="H510" s="7" t="str">
        <f t="array" ref="H510">IFERROR(INDEX(Base_Estudiantes!$F$4:$F$505,MATCH(D510,Base_Estudiantes!$C$4:$C$505,0)),"")</f>
        <v/>
      </c>
      <c r="I510" s="7" t="str">
        <f t="array" ref="I510">IFERROR(INDEX(Base_Estudiantes!$G$4:$G$505,MATCH(D510,Base_Estudiantes!$C$4:$C$505,0)),"")</f>
        <v/>
      </c>
      <c r="J510" s="7" t="str">
        <f t="array" ref="J510">IFERROR(INDEX(Base_Estudiantes!$H$4:$H$505,MATCH(D510,Base_Estudiantes!$C$4:$C$505,0)),"")</f>
        <v/>
      </c>
      <c r="K510" s="5"/>
      <c r="L510" s="5"/>
      <c r="M510" s="5"/>
      <c r="N510" s="5"/>
      <c r="O510" s="5"/>
      <c r="P510" s="5"/>
      <c r="Q510" s="5"/>
      <c r="R510" s="20"/>
      <c r="S510" s="5"/>
      <c r="T510" s="5"/>
    </row>
    <row r="511" spans="1:20" ht="15.75" customHeight="1">
      <c r="A511" s="19" t="str">
        <f t="shared" si="0"/>
        <v/>
      </c>
      <c r="B511" s="6"/>
      <c r="C511" s="20"/>
      <c r="D511" s="5"/>
      <c r="E511" s="7" t="str">
        <f t="array" ref="E511">IFERROR(INDEX(Base_Estudiantes!$A$4:$A$505,MATCH(D511,Base_Estudiantes!$C$4:$C$505,0)),"")</f>
        <v/>
      </c>
      <c r="F511" s="7" t="str">
        <f t="array" ref="F511">IFERROR(INDEX(Base_Estudiantes!$B$4:$B$505,MATCH(D511,Base_Estudiantes!$C$4:$C$505,0)),"")</f>
        <v/>
      </c>
      <c r="G511" s="7" t="str">
        <f t="array" ref="G511">IFERROR(INDEX(Base_Estudiantes!$D$4:$D$505,MATCH(D511,Base_Estudiantes!$C$4:$C$505,0)),"")</f>
        <v/>
      </c>
      <c r="H511" s="7" t="str">
        <f t="array" ref="H511">IFERROR(INDEX(Base_Estudiantes!$F$4:$F$505,MATCH(D511,Base_Estudiantes!$C$4:$C$505,0)),"")</f>
        <v/>
      </c>
      <c r="I511" s="7" t="str">
        <f t="array" ref="I511">IFERROR(INDEX(Base_Estudiantes!$G$4:$G$505,MATCH(D511,Base_Estudiantes!$C$4:$C$505,0)),"")</f>
        <v/>
      </c>
      <c r="J511" s="7" t="str">
        <f t="array" ref="J511">IFERROR(INDEX(Base_Estudiantes!$H$4:$H$505,MATCH(D511,Base_Estudiantes!$C$4:$C$505,0)),"")</f>
        <v/>
      </c>
      <c r="K511" s="5"/>
      <c r="L511" s="5"/>
      <c r="M511" s="5"/>
      <c r="N511" s="5"/>
      <c r="O511" s="5"/>
      <c r="P511" s="5"/>
      <c r="Q511" s="5"/>
      <c r="R511" s="20"/>
      <c r="S511" s="5"/>
      <c r="T511" s="5"/>
    </row>
    <row r="512" spans="1:20" ht="15.75" customHeight="1">
      <c r="A512" s="19" t="str">
        <f t="shared" si="0"/>
        <v/>
      </c>
      <c r="B512" s="6"/>
      <c r="C512" s="20"/>
      <c r="D512" s="5"/>
      <c r="E512" s="7" t="str">
        <f t="array" ref="E512">IFERROR(INDEX(Base_Estudiantes!$A$4:$A$505,MATCH(D512,Base_Estudiantes!$C$4:$C$505,0)),"")</f>
        <v/>
      </c>
      <c r="F512" s="7" t="str">
        <f t="array" ref="F512">IFERROR(INDEX(Base_Estudiantes!$B$4:$B$505,MATCH(D512,Base_Estudiantes!$C$4:$C$505,0)),"")</f>
        <v/>
      </c>
      <c r="G512" s="7" t="str">
        <f t="array" ref="G512">IFERROR(INDEX(Base_Estudiantes!$D$4:$D$505,MATCH(D512,Base_Estudiantes!$C$4:$C$505,0)),"")</f>
        <v/>
      </c>
      <c r="H512" s="7" t="str">
        <f t="array" ref="H512">IFERROR(INDEX(Base_Estudiantes!$F$4:$F$505,MATCH(D512,Base_Estudiantes!$C$4:$C$505,0)),"")</f>
        <v/>
      </c>
      <c r="I512" s="7" t="str">
        <f t="array" ref="I512">IFERROR(INDEX(Base_Estudiantes!$G$4:$G$505,MATCH(D512,Base_Estudiantes!$C$4:$C$505,0)),"")</f>
        <v/>
      </c>
      <c r="J512" s="7" t="str">
        <f t="array" ref="J512">IFERROR(INDEX(Base_Estudiantes!$H$4:$H$505,MATCH(D512,Base_Estudiantes!$C$4:$C$505,0)),"")</f>
        <v/>
      </c>
      <c r="K512" s="5"/>
      <c r="L512" s="5"/>
      <c r="M512" s="5"/>
      <c r="N512" s="5"/>
      <c r="O512" s="5"/>
      <c r="P512" s="5"/>
      <c r="Q512" s="5"/>
      <c r="R512" s="20"/>
      <c r="S512" s="5"/>
      <c r="T512" s="5"/>
    </row>
    <row r="513" spans="1:20" ht="15.75" customHeight="1">
      <c r="A513" s="19" t="str">
        <f t="shared" si="0"/>
        <v/>
      </c>
      <c r="B513" s="6"/>
      <c r="C513" s="20"/>
      <c r="D513" s="5"/>
      <c r="E513" s="7" t="str">
        <f t="array" ref="E513">IFERROR(INDEX(Base_Estudiantes!$A$4:$A$505,MATCH(D513,Base_Estudiantes!$C$4:$C$505,0)),"")</f>
        <v/>
      </c>
      <c r="F513" s="7" t="str">
        <f t="array" ref="F513">IFERROR(INDEX(Base_Estudiantes!$B$4:$B$505,MATCH(D513,Base_Estudiantes!$C$4:$C$505,0)),"")</f>
        <v/>
      </c>
      <c r="G513" s="7" t="str">
        <f t="array" ref="G513">IFERROR(INDEX(Base_Estudiantes!$D$4:$D$505,MATCH(D513,Base_Estudiantes!$C$4:$C$505,0)),"")</f>
        <v/>
      </c>
      <c r="H513" s="7" t="str">
        <f t="array" ref="H513">IFERROR(INDEX(Base_Estudiantes!$F$4:$F$505,MATCH(D513,Base_Estudiantes!$C$4:$C$505,0)),"")</f>
        <v/>
      </c>
      <c r="I513" s="7" t="str">
        <f t="array" ref="I513">IFERROR(INDEX(Base_Estudiantes!$G$4:$G$505,MATCH(D513,Base_Estudiantes!$C$4:$C$505,0)),"")</f>
        <v/>
      </c>
      <c r="J513" s="7" t="str">
        <f t="array" ref="J513">IFERROR(INDEX(Base_Estudiantes!$H$4:$H$505,MATCH(D513,Base_Estudiantes!$C$4:$C$505,0)),"")</f>
        <v/>
      </c>
      <c r="K513" s="5"/>
      <c r="L513" s="5"/>
      <c r="M513" s="5"/>
      <c r="N513" s="5"/>
      <c r="O513" s="5"/>
      <c r="P513" s="5"/>
      <c r="Q513" s="5"/>
      <c r="R513" s="20"/>
      <c r="S513" s="5"/>
      <c r="T513" s="5"/>
    </row>
    <row r="514" spans="1:20" ht="15.75" customHeight="1">
      <c r="A514" s="19" t="str">
        <f t="shared" si="0"/>
        <v/>
      </c>
      <c r="B514" s="6"/>
      <c r="C514" s="20"/>
      <c r="D514" s="5"/>
      <c r="E514" s="7" t="str">
        <f t="array" ref="E514">IFERROR(INDEX(Base_Estudiantes!$A$4:$A$505,MATCH(D514,Base_Estudiantes!$C$4:$C$505,0)),"")</f>
        <v/>
      </c>
      <c r="F514" s="7" t="str">
        <f t="array" ref="F514">IFERROR(INDEX(Base_Estudiantes!$B$4:$B$505,MATCH(D514,Base_Estudiantes!$C$4:$C$505,0)),"")</f>
        <v/>
      </c>
      <c r="G514" s="7" t="str">
        <f t="array" ref="G514">IFERROR(INDEX(Base_Estudiantes!$D$4:$D$505,MATCH(D514,Base_Estudiantes!$C$4:$C$505,0)),"")</f>
        <v/>
      </c>
      <c r="H514" s="7" t="str">
        <f t="array" ref="H514">IFERROR(INDEX(Base_Estudiantes!$F$4:$F$505,MATCH(D514,Base_Estudiantes!$C$4:$C$505,0)),"")</f>
        <v/>
      </c>
      <c r="I514" s="7" t="str">
        <f t="array" ref="I514">IFERROR(INDEX(Base_Estudiantes!$G$4:$G$505,MATCH(D514,Base_Estudiantes!$C$4:$C$505,0)),"")</f>
        <v/>
      </c>
      <c r="J514" s="7" t="str">
        <f t="array" ref="J514">IFERROR(INDEX(Base_Estudiantes!$H$4:$H$505,MATCH(D514,Base_Estudiantes!$C$4:$C$505,0)),"")</f>
        <v/>
      </c>
      <c r="K514" s="5"/>
      <c r="L514" s="5"/>
      <c r="M514" s="5"/>
      <c r="N514" s="5"/>
      <c r="O514" s="5"/>
      <c r="P514" s="5"/>
      <c r="Q514" s="5"/>
      <c r="R514" s="20"/>
      <c r="S514" s="5"/>
      <c r="T514" s="5"/>
    </row>
    <row r="515" spans="1:20" ht="15.75" customHeight="1">
      <c r="A515" s="19" t="str">
        <f t="shared" si="0"/>
        <v/>
      </c>
      <c r="B515" s="6"/>
      <c r="C515" s="20"/>
      <c r="D515" s="5"/>
      <c r="E515" s="7" t="str">
        <f t="array" ref="E515">IFERROR(INDEX(Base_Estudiantes!$A$4:$A$505,MATCH(D515,Base_Estudiantes!$C$4:$C$505,0)),"")</f>
        <v/>
      </c>
      <c r="F515" s="7" t="str">
        <f t="array" ref="F515">IFERROR(INDEX(Base_Estudiantes!$B$4:$B$505,MATCH(D515,Base_Estudiantes!$C$4:$C$505,0)),"")</f>
        <v/>
      </c>
      <c r="G515" s="7" t="str">
        <f t="array" ref="G515">IFERROR(INDEX(Base_Estudiantes!$D$4:$D$505,MATCH(D515,Base_Estudiantes!$C$4:$C$505,0)),"")</f>
        <v/>
      </c>
      <c r="H515" s="7" t="str">
        <f t="array" ref="H515">IFERROR(INDEX(Base_Estudiantes!$F$4:$F$505,MATCH(D515,Base_Estudiantes!$C$4:$C$505,0)),"")</f>
        <v/>
      </c>
      <c r="I515" s="7" t="str">
        <f t="array" ref="I515">IFERROR(INDEX(Base_Estudiantes!$G$4:$G$505,MATCH(D515,Base_Estudiantes!$C$4:$C$505,0)),"")</f>
        <v/>
      </c>
      <c r="J515" s="7" t="str">
        <f t="array" ref="J515">IFERROR(INDEX(Base_Estudiantes!$H$4:$H$505,MATCH(D515,Base_Estudiantes!$C$4:$C$505,0)),"")</f>
        <v/>
      </c>
      <c r="K515" s="5"/>
      <c r="L515" s="5"/>
      <c r="M515" s="5"/>
      <c r="N515" s="5"/>
      <c r="O515" s="5"/>
      <c r="P515" s="5"/>
      <c r="Q515" s="5"/>
      <c r="R515" s="20"/>
      <c r="S515" s="5"/>
      <c r="T515" s="5"/>
    </row>
    <row r="516" spans="1:20" ht="15.75" customHeight="1">
      <c r="A516" s="19" t="str">
        <f t="shared" si="0"/>
        <v/>
      </c>
      <c r="B516" s="6"/>
      <c r="C516" s="20"/>
      <c r="D516" s="5"/>
      <c r="E516" s="7" t="str">
        <f t="array" ref="E516">IFERROR(INDEX(Base_Estudiantes!$A$4:$A$505,MATCH(D516,Base_Estudiantes!$C$4:$C$505,0)),"")</f>
        <v/>
      </c>
      <c r="F516" s="7" t="str">
        <f t="array" ref="F516">IFERROR(INDEX(Base_Estudiantes!$B$4:$B$505,MATCH(D516,Base_Estudiantes!$C$4:$C$505,0)),"")</f>
        <v/>
      </c>
      <c r="G516" s="7" t="str">
        <f t="array" ref="G516">IFERROR(INDEX(Base_Estudiantes!$D$4:$D$505,MATCH(D516,Base_Estudiantes!$C$4:$C$505,0)),"")</f>
        <v/>
      </c>
      <c r="H516" s="7" t="str">
        <f t="array" ref="H516">IFERROR(INDEX(Base_Estudiantes!$F$4:$F$505,MATCH(D516,Base_Estudiantes!$C$4:$C$505,0)),"")</f>
        <v/>
      </c>
      <c r="I516" s="7" t="str">
        <f t="array" ref="I516">IFERROR(INDEX(Base_Estudiantes!$G$4:$G$505,MATCH(D516,Base_Estudiantes!$C$4:$C$505,0)),"")</f>
        <v/>
      </c>
      <c r="J516" s="7" t="str">
        <f t="array" ref="J516">IFERROR(INDEX(Base_Estudiantes!$H$4:$H$505,MATCH(D516,Base_Estudiantes!$C$4:$C$505,0)),"")</f>
        <v/>
      </c>
      <c r="K516" s="5"/>
      <c r="L516" s="5"/>
      <c r="M516" s="5"/>
      <c r="N516" s="5"/>
      <c r="O516" s="5"/>
      <c r="P516" s="5"/>
      <c r="Q516" s="5"/>
      <c r="R516" s="20"/>
      <c r="S516" s="5"/>
      <c r="T516" s="5"/>
    </row>
    <row r="517" spans="1:20" ht="15.75" customHeight="1">
      <c r="A517" s="19" t="str">
        <f t="shared" si="0"/>
        <v/>
      </c>
      <c r="B517" s="6"/>
      <c r="C517" s="20"/>
      <c r="D517" s="5"/>
      <c r="E517" s="7" t="str">
        <f t="array" ref="E517">IFERROR(INDEX(Base_Estudiantes!$A$4:$A$505,MATCH(D517,Base_Estudiantes!$C$4:$C$505,0)),"")</f>
        <v/>
      </c>
      <c r="F517" s="7" t="str">
        <f t="array" ref="F517">IFERROR(INDEX(Base_Estudiantes!$B$4:$B$505,MATCH(D517,Base_Estudiantes!$C$4:$C$505,0)),"")</f>
        <v/>
      </c>
      <c r="G517" s="7" t="str">
        <f t="array" ref="G517">IFERROR(INDEX(Base_Estudiantes!$D$4:$D$505,MATCH(D517,Base_Estudiantes!$C$4:$C$505,0)),"")</f>
        <v/>
      </c>
      <c r="H517" s="7" t="str">
        <f t="array" ref="H517">IFERROR(INDEX(Base_Estudiantes!$F$4:$F$505,MATCH(D517,Base_Estudiantes!$C$4:$C$505,0)),"")</f>
        <v/>
      </c>
      <c r="I517" s="7" t="str">
        <f t="array" ref="I517">IFERROR(INDEX(Base_Estudiantes!$G$4:$G$505,MATCH(D517,Base_Estudiantes!$C$4:$C$505,0)),"")</f>
        <v/>
      </c>
      <c r="J517" s="7" t="str">
        <f t="array" ref="J517">IFERROR(INDEX(Base_Estudiantes!$H$4:$H$505,MATCH(D517,Base_Estudiantes!$C$4:$C$505,0)),"")</f>
        <v/>
      </c>
      <c r="K517" s="5"/>
      <c r="L517" s="5"/>
      <c r="M517" s="5"/>
      <c r="N517" s="5"/>
      <c r="O517" s="5"/>
      <c r="P517" s="5"/>
      <c r="Q517" s="5"/>
      <c r="R517" s="20"/>
      <c r="S517" s="5"/>
      <c r="T517" s="5"/>
    </row>
    <row r="518" spans="1:20" ht="15.75" customHeight="1">
      <c r="A518" s="19" t="str">
        <f t="shared" si="0"/>
        <v/>
      </c>
      <c r="B518" s="6"/>
      <c r="C518" s="20"/>
      <c r="D518" s="5"/>
      <c r="E518" s="7" t="str">
        <f t="array" ref="E518">IFERROR(INDEX(Base_Estudiantes!$A$4:$A$505,MATCH(D518,Base_Estudiantes!$C$4:$C$505,0)),"")</f>
        <v/>
      </c>
      <c r="F518" s="7" t="str">
        <f t="array" ref="F518">IFERROR(INDEX(Base_Estudiantes!$B$4:$B$505,MATCH(D518,Base_Estudiantes!$C$4:$C$505,0)),"")</f>
        <v/>
      </c>
      <c r="G518" s="7" t="str">
        <f t="array" ref="G518">IFERROR(INDEX(Base_Estudiantes!$D$4:$D$505,MATCH(D518,Base_Estudiantes!$C$4:$C$505,0)),"")</f>
        <v/>
      </c>
      <c r="H518" s="7" t="str">
        <f t="array" ref="H518">IFERROR(INDEX(Base_Estudiantes!$F$4:$F$505,MATCH(D518,Base_Estudiantes!$C$4:$C$505,0)),"")</f>
        <v/>
      </c>
      <c r="I518" s="7" t="str">
        <f t="array" ref="I518">IFERROR(INDEX(Base_Estudiantes!$G$4:$G$505,MATCH(D518,Base_Estudiantes!$C$4:$C$505,0)),"")</f>
        <v/>
      </c>
      <c r="J518" s="7" t="str">
        <f t="array" ref="J518">IFERROR(INDEX(Base_Estudiantes!$H$4:$H$505,MATCH(D518,Base_Estudiantes!$C$4:$C$505,0)),"")</f>
        <v/>
      </c>
      <c r="K518" s="5"/>
      <c r="L518" s="5"/>
      <c r="M518" s="5"/>
      <c r="N518" s="5"/>
      <c r="O518" s="5"/>
      <c r="P518" s="5"/>
      <c r="Q518" s="5"/>
      <c r="R518" s="20"/>
      <c r="S518" s="5"/>
      <c r="T518" s="5"/>
    </row>
    <row r="519" spans="1:20" ht="15.75" customHeight="1">
      <c r="A519" s="19" t="str">
        <f t="shared" si="0"/>
        <v/>
      </c>
      <c r="B519" s="6"/>
      <c r="C519" s="20"/>
      <c r="D519" s="5"/>
      <c r="E519" s="7" t="str">
        <f t="array" ref="E519">IFERROR(INDEX(Base_Estudiantes!$A$4:$A$505,MATCH(D519,Base_Estudiantes!$C$4:$C$505,0)),"")</f>
        <v/>
      </c>
      <c r="F519" s="7" t="str">
        <f t="array" ref="F519">IFERROR(INDEX(Base_Estudiantes!$B$4:$B$505,MATCH(D519,Base_Estudiantes!$C$4:$C$505,0)),"")</f>
        <v/>
      </c>
      <c r="G519" s="7" t="str">
        <f t="array" ref="G519">IFERROR(INDEX(Base_Estudiantes!$D$4:$D$505,MATCH(D519,Base_Estudiantes!$C$4:$C$505,0)),"")</f>
        <v/>
      </c>
      <c r="H519" s="7" t="str">
        <f t="array" ref="H519">IFERROR(INDEX(Base_Estudiantes!$F$4:$F$505,MATCH(D519,Base_Estudiantes!$C$4:$C$505,0)),"")</f>
        <v/>
      </c>
      <c r="I519" s="7" t="str">
        <f t="array" ref="I519">IFERROR(INDEX(Base_Estudiantes!$G$4:$G$505,MATCH(D519,Base_Estudiantes!$C$4:$C$505,0)),"")</f>
        <v/>
      </c>
      <c r="J519" s="7" t="str">
        <f t="array" ref="J519">IFERROR(INDEX(Base_Estudiantes!$H$4:$H$505,MATCH(D519,Base_Estudiantes!$C$4:$C$505,0)),"")</f>
        <v/>
      </c>
      <c r="K519" s="5"/>
      <c r="L519" s="5"/>
      <c r="M519" s="5"/>
      <c r="N519" s="5"/>
      <c r="O519" s="5"/>
      <c r="P519" s="5"/>
      <c r="Q519" s="5"/>
      <c r="R519" s="20"/>
      <c r="S519" s="5"/>
      <c r="T519" s="5"/>
    </row>
    <row r="520" spans="1:20" ht="15.75" customHeight="1">
      <c r="A520" s="19" t="str">
        <f t="shared" si="0"/>
        <v/>
      </c>
      <c r="B520" s="6"/>
      <c r="C520" s="20"/>
      <c r="D520" s="5"/>
      <c r="E520" s="7" t="str">
        <f t="array" ref="E520">IFERROR(INDEX(Base_Estudiantes!$A$4:$A$505,MATCH(D520,Base_Estudiantes!$C$4:$C$505,0)),"")</f>
        <v/>
      </c>
      <c r="F520" s="7" t="str">
        <f t="array" ref="F520">IFERROR(INDEX(Base_Estudiantes!$B$4:$B$505,MATCH(D520,Base_Estudiantes!$C$4:$C$505,0)),"")</f>
        <v/>
      </c>
      <c r="G520" s="7" t="str">
        <f t="array" ref="G520">IFERROR(INDEX(Base_Estudiantes!$D$4:$D$505,MATCH(D520,Base_Estudiantes!$C$4:$C$505,0)),"")</f>
        <v/>
      </c>
      <c r="H520" s="7" t="str">
        <f t="array" ref="H520">IFERROR(INDEX(Base_Estudiantes!$F$4:$F$505,MATCH(D520,Base_Estudiantes!$C$4:$C$505,0)),"")</f>
        <v/>
      </c>
      <c r="I520" s="7" t="str">
        <f t="array" ref="I520">IFERROR(INDEX(Base_Estudiantes!$G$4:$G$505,MATCH(D520,Base_Estudiantes!$C$4:$C$505,0)),"")</f>
        <v/>
      </c>
      <c r="J520" s="7" t="str">
        <f t="array" ref="J520">IFERROR(INDEX(Base_Estudiantes!$H$4:$H$505,MATCH(D520,Base_Estudiantes!$C$4:$C$505,0)),"")</f>
        <v/>
      </c>
      <c r="K520" s="5"/>
      <c r="L520" s="5"/>
      <c r="M520" s="5"/>
      <c r="N520" s="5"/>
      <c r="O520" s="5"/>
      <c r="P520" s="5"/>
      <c r="Q520" s="5"/>
      <c r="R520" s="20"/>
      <c r="S520" s="5"/>
      <c r="T520" s="5"/>
    </row>
    <row r="521" spans="1:20" ht="15.75" customHeight="1">
      <c r="A521" s="19" t="str">
        <f t="shared" si="0"/>
        <v/>
      </c>
      <c r="B521" s="6"/>
      <c r="C521" s="20"/>
      <c r="D521" s="5"/>
      <c r="E521" s="7" t="str">
        <f t="array" ref="E521">IFERROR(INDEX(Base_Estudiantes!$A$4:$A$505,MATCH(D521,Base_Estudiantes!$C$4:$C$505,0)),"")</f>
        <v/>
      </c>
      <c r="F521" s="7" t="str">
        <f t="array" ref="F521">IFERROR(INDEX(Base_Estudiantes!$B$4:$B$505,MATCH(D521,Base_Estudiantes!$C$4:$C$505,0)),"")</f>
        <v/>
      </c>
      <c r="G521" s="7" t="str">
        <f t="array" ref="G521">IFERROR(INDEX(Base_Estudiantes!$D$4:$D$505,MATCH(D521,Base_Estudiantes!$C$4:$C$505,0)),"")</f>
        <v/>
      </c>
      <c r="H521" s="7" t="str">
        <f t="array" ref="H521">IFERROR(INDEX(Base_Estudiantes!$F$4:$F$505,MATCH(D521,Base_Estudiantes!$C$4:$C$505,0)),"")</f>
        <v/>
      </c>
      <c r="I521" s="7" t="str">
        <f t="array" ref="I521">IFERROR(INDEX(Base_Estudiantes!$G$4:$G$505,MATCH(D521,Base_Estudiantes!$C$4:$C$505,0)),"")</f>
        <v/>
      </c>
      <c r="J521" s="7" t="str">
        <f t="array" ref="J521">IFERROR(INDEX(Base_Estudiantes!$H$4:$H$505,MATCH(D521,Base_Estudiantes!$C$4:$C$505,0)),"")</f>
        <v/>
      </c>
      <c r="K521" s="5"/>
      <c r="L521" s="5"/>
      <c r="M521" s="5"/>
      <c r="N521" s="5"/>
      <c r="O521" s="5"/>
      <c r="P521" s="5"/>
      <c r="Q521" s="5"/>
      <c r="R521" s="20"/>
      <c r="S521" s="5"/>
      <c r="T521" s="5"/>
    </row>
    <row r="522" spans="1:20" ht="15.75" customHeight="1">
      <c r="A522" s="19" t="str">
        <f t="shared" si="0"/>
        <v/>
      </c>
      <c r="B522" s="6"/>
      <c r="C522" s="20"/>
      <c r="D522" s="5"/>
      <c r="E522" s="7" t="str">
        <f t="array" ref="E522">IFERROR(INDEX(Base_Estudiantes!$A$4:$A$505,MATCH(D522,Base_Estudiantes!$C$4:$C$505,0)),"")</f>
        <v/>
      </c>
      <c r="F522" s="7" t="str">
        <f t="array" ref="F522">IFERROR(INDEX(Base_Estudiantes!$B$4:$B$505,MATCH(D522,Base_Estudiantes!$C$4:$C$505,0)),"")</f>
        <v/>
      </c>
      <c r="G522" s="7" t="str">
        <f t="array" ref="G522">IFERROR(INDEX(Base_Estudiantes!$D$4:$D$505,MATCH(D522,Base_Estudiantes!$C$4:$C$505,0)),"")</f>
        <v/>
      </c>
      <c r="H522" s="7" t="str">
        <f t="array" ref="H522">IFERROR(INDEX(Base_Estudiantes!$F$4:$F$505,MATCH(D522,Base_Estudiantes!$C$4:$C$505,0)),"")</f>
        <v/>
      </c>
      <c r="I522" s="7" t="str">
        <f t="array" ref="I522">IFERROR(INDEX(Base_Estudiantes!$G$4:$G$505,MATCH(D522,Base_Estudiantes!$C$4:$C$505,0)),"")</f>
        <v/>
      </c>
      <c r="J522" s="7" t="str">
        <f t="array" ref="J522">IFERROR(INDEX(Base_Estudiantes!$H$4:$H$505,MATCH(D522,Base_Estudiantes!$C$4:$C$505,0)),"")</f>
        <v/>
      </c>
      <c r="K522" s="5"/>
      <c r="L522" s="5"/>
      <c r="M522" s="5"/>
      <c r="N522" s="5"/>
      <c r="O522" s="5"/>
      <c r="P522" s="5"/>
      <c r="Q522" s="5"/>
      <c r="R522" s="20"/>
      <c r="S522" s="5"/>
      <c r="T522" s="5"/>
    </row>
    <row r="523" spans="1:20" ht="15.75" customHeight="1">
      <c r="A523" s="19" t="str">
        <f t="shared" si="0"/>
        <v/>
      </c>
      <c r="B523" s="6"/>
      <c r="C523" s="20"/>
      <c r="D523" s="5"/>
      <c r="E523" s="7" t="str">
        <f t="array" ref="E523">IFERROR(INDEX(Base_Estudiantes!$A$4:$A$505,MATCH(D523,Base_Estudiantes!$C$4:$C$505,0)),"")</f>
        <v/>
      </c>
      <c r="F523" s="7" t="str">
        <f t="array" ref="F523">IFERROR(INDEX(Base_Estudiantes!$B$4:$B$505,MATCH(D523,Base_Estudiantes!$C$4:$C$505,0)),"")</f>
        <v/>
      </c>
      <c r="G523" s="7" t="str">
        <f t="array" ref="G523">IFERROR(INDEX(Base_Estudiantes!$D$4:$D$505,MATCH(D523,Base_Estudiantes!$C$4:$C$505,0)),"")</f>
        <v/>
      </c>
      <c r="H523" s="7" t="str">
        <f t="array" ref="H523">IFERROR(INDEX(Base_Estudiantes!$F$4:$F$505,MATCH(D523,Base_Estudiantes!$C$4:$C$505,0)),"")</f>
        <v/>
      </c>
      <c r="I523" s="7" t="str">
        <f t="array" ref="I523">IFERROR(INDEX(Base_Estudiantes!$G$4:$G$505,MATCH(D523,Base_Estudiantes!$C$4:$C$505,0)),"")</f>
        <v/>
      </c>
      <c r="J523" s="7" t="str">
        <f t="array" ref="J523">IFERROR(INDEX(Base_Estudiantes!$H$4:$H$505,MATCH(D523,Base_Estudiantes!$C$4:$C$505,0)),"")</f>
        <v/>
      </c>
      <c r="K523" s="5"/>
      <c r="L523" s="5"/>
      <c r="M523" s="5"/>
      <c r="N523" s="5"/>
      <c r="O523" s="5"/>
      <c r="P523" s="5"/>
      <c r="Q523" s="5"/>
      <c r="R523" s="20"/>
      <c r="S523" s="5"/>
      <c r="T523" s="5"/>
    </row>
    <row r="524" spans="1:20" ht="15.75" customHeight="1">
      <c r="A524" s="19" t="str">
        <f t="shared" si="0"/>
        <v/>
      </c>
      <c r="B524" s="6"/>
      <c r="C524" s="20"/>
      <c r="D524" s="5"/>
      <c r="E524" s="7" t="str">
        <f t="array" ref="E524">IFERROR(INDEX(Base_Estudiantes!$A$4:$A$505,MATCH(D524,Base_Estudiantes!$C$4:$C$505,0)),"")</f>
        <v/>
      </c>
      <c r="F524" s="7" t="str">
        <f t="array" ref="F524">IFERROR(INDEX(Base_Estudiantes!$B$4:$B$505,MATCH(D524,Base_Estudiantes!$C$4:$C$505,0)),"")</f>
        <v/>
      </c>
      <c r="G524" s="7" t="str">
        <f t="array" ref="G524">IFERROR(INDEX(Base_Estudiantes!$D$4:$D$505,MATCH(D524,Base_Estudiantes!$C$4:$C$505,0)),"")</f>
        <v/>
      </c>
      <c r="H524" s="7" t="str">
        <f t="array" ref="H524">IFERROR(INDEX(Base_Estudiantes!$F$4:$F$505,MATCH(D524,Base_Estudiantes!$C$4:$C$505,0)),"")</f>
        <v/>
      </c>
      <c r="I524" s="7" t="str">
        <f t="array" ref="I524">IFERROR(INDEX(Base_Estudiantes!$G$4:$G$505,MATCH(D524,Base_Estudiantes!$C$4:$C$505,0)),"")</f>
        <v/>
      </c>
      <c r="J524" s="7" t="str">
        <f t="array" ref="J524">IFERROR(INDEX(Base_Estudiantes!$H$4:$H$505,MATCH(D524,Base_Estudiantes!$C$4:$C$505,0)),"")</f>
        <v/>
      </c>
      <c r="K524" s="5"/>
      <c r="L524" s="5"/>
      <c r="M524" s="5"/>
      <c r="N524" s="5"/>
      <c r="O524" s="5"/>
      <c r="P524" s="5"/>
      <c r="Q524" s="5"/>
      <c r="R524" s="20"/>
      <c r="S524" s="5"/>
      <c r="T524" s="5"/>
    </row>
    <row r="525" spans="1:20" ht="15.75" customHeight="1">
      <c r="A525" s="19" t="str">
        <f t="shared" si="0"/>
        <v/>
      </c>
      <c r="B525" s="6"/>
      <c r="C525" s="20"/>
      <c r="D525" s="5"/>
      <c r="E525" s="7" t="str">
        <f t="array" ref="E525">IFERROR(INDEX(Base_Estudiantes!$A$4:$A$505,MATCH(D525,Base_Estudiantes!$C$4:$C$505,0)),"")</f>
        <v/>
      </c>
      <c r="F525" s="7" t="str">
        <f t="array" ref="F525">IFERROR(INDEX(Base_Estudiantes!$B$4:$B$505,MATCH(D525,Base_Estudiantes!$C$4:$C$505,0)),"")</f>
        <v/>
      </c>
      <c r="G525" s="7" t="str">
        <f t="array" ref="G525">IFERROR(INDEX(Base_Estudiantes!$D$4:$D$505,MATCH(D525,Base_Estudiantes!$C$4:$C$505,0)),"")</f>
        <v/>
      </c>
      <c r="H525" s="7" t="str">
        <f t="array" ref="H525">IFERROR(INDEX(Base_Estudiantes!$F$4:$F$505,MATCH(D525,Base_Estudiantes!$C$4:$C$505,0)),"")</f>
        <v/>
      </c>
      <c r="I525" s="7" t="str">
        <f t="array" ref="I525">IFERROR(INDEX(Base_Estudiantes!$G$4:$G$505,MATCH(D525,Base_Estudiantes!$C$4:$C$505,0)),"")</f>
        <v/>
      </c>
      <c r="J525" s="7" t="str">
        <f t="array" ref="J525">IFERROR(INDEX(Base_Estudiantes!$H$4:$H$505,MATCH(D525,Base_Estudiantes!$C$4:$C$505,0)),"")</f>
        <v/>
      </c>
      <c r="K525" s="5"/>
      <c r="L525" s="5"/>
      <c r="M525" s="5"/>
      <c r="N525" s="5"/>
      <c r="O525" s="5"/>
      <c r="P525" s="5"/>
      <c r="Q525" s="5"/>
      <c r="R525" s="20"/>
      <c r="S525" s="5"/>
      <c r="T525" s="5"/>
    </row>
    <row r="526" spans="1:20" ht="15.75" customHeight="1">
      <c r="A526" s="19" t="str">
        <f t="shared" si="0"/>
        <v/>
      </c>
      <c r="B526" s="6"/>
      <c r="C526" s="20"/>
      <c r="D526" s="5"/>
      <c r="E526" s="7" t="str">
        <f t="array" ref="E526">IFERROR(INDEX(Base_Estudiantes!$A$4:$A$505,MATCH(D526,Base_Estudiantes!$C$4:$C$505,0)),"")</f>
        <v/>
      </c>
      <c r="F526" s="7" t="str">
        <f t="array" ref="F526">IFERROR(INDEX(Base_Estudiantes!$B$4:$B$505,MATCH(D526,Base_Estudiantes!$C$4:$C$505,0)),"")</f>
        <v/>
      </c>
      <c r="G526" s="7" t="str">
        <f t="array" ref="G526">IFERROR(INDEX(Base_Estudiantes!$D$4:$D$505,MATCH(D526,Base_Estudiantes!$C$4:$C$505,0)),"")</f>
        <v/>
      </c>
      <c r="H526" s="7" t="str">
        <f t="array" ref="H526">IFERROR(INDEX(Base_Estudiantes!$F$4:$F$505,MATCH(D526,Base_Estudiantes!$C$4:$C$505,0)),"")</f>
        <v/>
      </c>
      <c r="I526" s="7" t="str">
        <f t="array" ref="I526">IFERROR(INDEX(Base_Estudiantes!$G$4:$G$505,MATCH(D526,Base_Estudiantes!$C$4:$C$505,0)),"")</f>
        <v/>
      </c>
      <c r="J526" s="7" t="str">
        <f t="array" ref="J526">IFERROR(INDEX(Base_Estudiantes!$H$4:$H$505,MATCH(D526,Base_Estudiantes!$C$4:$C$505,0)),"")</f>
        <v/>
      </c>
      <c r="K526" s="5"/>
      <c r="L526" s="5"/>
      <c r="M526" s="5"/>
      <c r="N526" s="5"/>
      <c r="O526" s="5"/>
      <c r="P526" s="5"/>
      <c r="Q526" s="5"/>
      <c r="R526" s="20"/>
      <c r="S526" s="5"/>
      <c r="T526" s="5"/>
    </row>
    <row r="527" spans="1:20" ht="15.75" customHeight="1">
      <c r="A527" s="19" t="str">
        <f t="shared" si="0"/>
        <v/>
      </c>
      <c r="B527" s="6"/>
      <c r="C527" s="20"/>
      <c r="D527" s="5"/>
      <c r="E527" s="7" t="str">
        <f t="array" ref="E527">IFERROR(INDEX(Base_Estudiantes!$A$4:$A$505,MATCH(D527,Base_Estudiantes!$C$4:$C$505,0)),"")</f>
        <v/>
      </c>
      <c r="F527" s="7" t="str">
        <f t="array" ref="F527">IFERROR(INDEX(Base_Estudiantes!$B$4:$B$505,MATCH(D527,Base_Estudiantes!$C$4:$C$505,0)),"")</f>
        <v/>
      </c>
      <c r="G527" s="7" t="str">
        <f t="array" ref="G527">IFERROR(INDEX(Base_Estudiantes!$D$4:$D$505,MATCH(D527,Base_Estudiantes!$C$4:$C$505,0)),"")</f>
        <v/>
      </c>
      <c r="H527" s="7" t="str">
        <f t="array" ref="H527">IFERROR(INDEX(Base_Estudiantes!$F$4:$F$505,MATCH(D527,Base_Estudiantes!$C$4:$C$505,0)),"")</f>
        <v/>
      </c>
      <c r="I527" s="7" t="str">
        <f t="array" ref="I527">IFERROR(INDEX(Base_Estudiantes!$G$4:$G$505,MATCH(D527,Base_Estudiantes!$C$4:$C$505,0)),"")</f>
        <v/>
      </c>
      <c r="J527" s="7" t="str">
        <f t="array" ref="J527">IFERROR(INDEX(Base_Estudiantes!$H$4:$H$505,MATCH(D527,Base_Estudiantes!$C$4:$C$505,0)),"")</f>
        <v/>
      </c>
      <c r="K527" s="5"/>
      <c r="L527" s="5"/>
      <c r="M527" s="5"/>
      <c r="N527" s="5"/>
      <c r="O527" s="5"/>
      <c r="P527" s="5"/>
      <c r="Q527" s="5"/>
      <c r="R527" s="20"/>
      <c r="S527" s="5"/>
      <c r="T527" s="5"/>
    </row>
    <row r="528" spans="1:20" ht="15.75" customHeight="1">
      <c r="A528" s="19" t="str">
        <f t="shared" si="0"/>
        <v/>
      </c>
      <c r="B528" s="6"/>
      <c r="C528" s="20"/>
      <c r="D528" s="5"/>
      <c r="E528" s="7" t="str">
        <f t="array" ref="E528">IFERROR(INDEX(Base_Estudiantes!$A$4:$A$505,MATCH(D528,Base_Estudiantes!$C$4:$C$505,0)),"")</f>
        <v/>
      </c>
      <c r="F528" s="7" t="str">
        <f t="array" ref="F528">IFERROR(INDEX(Base_Estudiantes!$B$4:$B$505,MATCH(D528,Base_Estudiantes!$C$4:$C$505,0)),"")</f>
        <v/>
      </c>
      <c r="G528" s="7" t="str">
        <f t="array" ref="G528">IFERROR(INDEX(Base_Estudiantes!$D$4:$D$505,MATCH(D528,Base_Estudiantes!$C$4:$C$505,0)),"")</f>
        <v/>
      </c>
      <c r="H528" s="7" t="str">
        <f t="array" ref="H528">IFERROR(INDEX(Base_Estudiantes!$F$4:$F$505,MATCH(D528,Base_Estudiantes!$C$4:$C$505,0)),"")</f>
        <v/>
      </c>
      <c r="I528" s="7" t="str">
        <f t="array" ref="I528">IFERROR(INDEX(Base_Estudiantes!$G$4:$G$505,MATCH(D528,Base_Estudiantes!$C$4:$C$505,0)),"")</f>
        <v/>
      </c>
      <c r="J528" s="7" t="str">
        <f t="array" ref="J528">IFERROR(INDEX(Base_Estudiantes!$H$4:$H$505,MATCH(D528,Base_Estudiantes!$C$4:$C$505,0)),"")</f>
        <v/>
      </c>
      <c r="K528" s="5"/>
      <c r="L528" s="5"/>
      <c r="M528" s="5"/>
      <c r="N528" s="5"/>
      <c r="O528" s="5"/>
      <c r="P528" s="5"/>
      <c r="Q528" s="5"/>
      <c r="R528" s="20"/>
      <c r="S528" s="5"/>
      <c r="T528" s="5"/>
    </row>
    <row r="529" spans="1:20" ht="15.75" customHeight="1">
      <c r="A529" s="19" t="str">
        <f t="shared" si="0"/>
        <v/>
      </c>
      <c r="B529" s="6"/>
      <c r="C529" s="20"/>
      <c r="D529" s="5"/>
      <c r="E529" s="7" t="str">
        <f t="array" ref="E529">IFERROR(INDEX(Base_Estudiantes!$A$4:$A$505,MATCH(D529,Base_Estudiantes!$C$4:$C$505,0)),"")</f>
        <v/>
      </c>
      <c r="F529" s="7" t="str">
        <f t="array" ref="F529">IFERROR(INDEX(Base_Estudiantes!$B$4:$B$505,MATCH(D529,Base_Estudiantes!$C$4:$C$505,0)),"")</f>
        <v/>
      </c>
      <c r="G529" s="7" t="str">
        <f t="array" ref="G529">IFERROR(INDEX(Base_Estudiantes!$D$4:$D$505,MATCH(D529,Base_Estudiantes!$C$4:$C$505,0)),"")</f>
        <v/>
      </c>
      <c r="H529" s="7" t="str">
        <f t="array" ref="H529">IFERROR(INDEX(Base_Estudiantes!$F$4:$F$505,MATCH(D529,Base_Estudiantes!$C$4:$C$505,0)),"")</f>
        <v/>
      </c>
      <c r="I529" s="7" t="str">
        <f t="array" ref="I529">IFERROR(INDEX(Base_Estudiantes!$G$4:$G$505,MATCH(D529,Base_Estudiantes!$C$4:$C$505,0)),"")</f>
        <v/>
      </c>
      <c r="J529" s="7" t="str">
        <f t="array" ref="J529">IFERROR(INDEX(Base_Estudiantes!$H$4:$H$505,MATCH(D529,Base_Estudiantes!$C$4:$C$505,0)),"")</f>
        <v/>
      </c>
      <c r="K529" s="5"/>
      <c r="L529" s="5"/>
      <c r="M529" s="5"/>
      <c r="N529" s="5"/>
      <c r="O529" s="5"/>
      <c r="P529" s="5"/>
      <c r="Q529" s="5"/>
      <c r="R529" s="20"/>
      <c r="S529" s="5"/>
      <c r="T529" s="5"/>
    </row>
    <row r="530" spans="1:20" ht="15.75" customHeight="1">
      <c r="A530" s="19" t="str">
        <f t="shared" si="0"/>
        <v/>
      </c>
      <c r="B530" s="6"/>
      <c r="C530" s="20"/>
      <c r="D530" s="5"/>
      <c r="E530" s="7" t="str">
        <f t="array" ref="E530">IFERROR(INDEX(Base_Estudiantes!$A$4:$A$505,MATCH(D530,Base_Estudiantes!$C$4:$C$505,0)),"")</f>
        <v/>
      </c>
      <c r="F530" s="7" t="str">
        <f t="array" ref="F530">IFERROR(INDEX(Base_Estudiantes!$B$4:$B$505,MATCH(D530,Base_Estudiantes!$C$4:$C$505,0)),"")</f>
        <v/>
      </c>
      <c r="G530" s="7" t="str">
        <f t="array" ref="G530">IFERROR(INDEX(Base_Estudiantes!$D$4:$D$505,MATCH(D530,Base_Estudiantes!$C$4:$C$505,0)),"")</f>
        <v/>
      </c>
      <c r="H530" s="7" t="str">
        <f t="array" ref="H530">IFERROR(INDEX(Base_Estudiantes!$F$4:$F$505,MATCH(D530,Base_Estudiantes!$C$4:$C$505,0)),"")</f>
        <v/>
      </c>
      <c r="I530" s="7" t="str">
        <f t="array" ref="I530">IFERROR(INDEX(Base_Estudiantes!$G$4:$G$505,MATCH(D530,Base_Estudiantes!$C$4:$C$505,0)),"")</f>
        <v/>
      </c>
      <c r="J530" s="7" t="str">
        <f t="array" ref="J530">IFERROR(INDEX(Base_Estudiantes!$H$4:$H$505,MATCH(D530,Base_Estudiantes!$C$4:$C$505,0)),"")</f>
        <v/>
      </c>
      <c r="K530" s="5"/>
      <c r="L530" s="5"/>
      <c r="M530" s="5"/>
      <c r="N530" s="5"/>
      <c r="O530" s="5"/>
      <c r="P530" s="5"/>
      <c r="Q530" s="5"/>
      <c r="R530" s="20"/>
      <c r="S530" s="5"/>
      <c r="T530" s="5"/>
    </row>
    <row r="531" spans="1:20" ht="15.75" customHeight="1">
      <c r="A531" s="19" t="str">
        <f t="shared" si="0"/>
        <v/>
      </c>
      <c r="B531" s="6"/>
      <c r="C531" s="20"/>
      <c r="D531" s="5"/>
      <c r="E531" s="7" t="str">
        <f t="array" ref="E531">IFERROR(INDEX(Base_Estudiantes!$A$4:$A$505,MATCH(D531,Base_Estudiantes!$C$4:$C$505,0)),"")</f>
        <v/>
      </c>
      <c r="F531" s="7" t="str">
        <f t="array" ref="F531">IFERROR(INDEX(Base_Estudiantes!$B$4:$B$505,MATCH(D531,Base_Estudiantes!$C$4:$C$505,0)),"")</f>
        <v/>
      </c>
      <c r="G531" s="7" t="str">
        <f t="array" ref="G531">IFERROR(INDEX(Base_Estudiantes!$D$4:$D$505,MATCH(D531,Base_Estudiantes!$C$4:$C$505,0)),"")</f>
        <v/>
      </c>
      <c r="H531" s="7" t="str">
        <f t="array" ref="H531">IFERROR(INDEX(Base_Estudiantes!$F$4:$F$505,MATCH(D531,Base_Estudiantes!$C$4:$C$505,0)),"")</f>
        <v/>
      </c>
      <c r="I531" s="7" t="str">
        <f t="array" ref="I531">IFERROR(INDEX(Base_Estudiantes!$G$4:$G$505,MATCH(D531,Base_Estudiantes!$C$4:$C$505,0)),"")</f>
        <v/>
      </c>
      <c r="J531" s="7" t="str">
        <f t="array" ref="J531">IFERROR(INDEX(Base_Estudiantes!$H$4:$H$505,MATCH(D531,Base_Estudiantes!$C$4:$C$505,0)),"")</f>
        <v/>
      </c>
      <c r="K531" s="5"/>
      <c r="L531" s="5"/>
      <c r="M531" s="5"/>
      <c r="N531" s="5"/>
      <c r="O531" s="5"/>
      <c r="P531" s="5"/>
      <c r="Q531" s="5"/>
      <c r="R531" s="20"/>
      <c r="S531" s="5"/>
      <c r="T531" s="5"/>
    </row>
    <row r="532" spans="1:20" ht="15.75" customHeight="1">
      <c r="A532" s="19" t="str">
        <f t="shared" si="0"/>
        <v/>
      </c>
      <c r="B532" s="6"/>
      <c r="C532" s="20"/>
      <c r="D532" s="5"/>
      <c r="E532" s="7" t="str">
        <f t="array" ref="E532">IFERROR(INDEX(Base_Estudiantes!$A$4:$A$505,MATCH(D532,Base_Estudiantes!$C$4:$C$505,0)),"")</f>
        <v/>
      </c>
      <c r="F532" s="7" t="str">
        <f t="array" ref="F532">IFERROR(INDEX(Base_Estudiantes!$B$4:$B$505,MATCH(D532,Base_Estudiantes!$C$4:$C$505,0)),"")</f>
        <v/>
      </c>
      <c r="G532" s="7" t="str">
        <f t="array" ref="G532">IFERROR(INDEX(Base_Estudiantes!$D$4:$D$505,MATCH(D532,Base_Estudiantes!$C$4:$C$505,0)),"")</f>
        <v/>
      </c>
      <c r="H532" s="7" t="str">
        <f t="array" ref="H532">IFERROR(INDEX(Base_Estudiantes!$F$4:$F$505,MATCH(D532,Base_Estudiantes!$C$4:$C$505,0)),"")</f>
        <v/>
      </c>
      <c r="I532" s="7" t="str">
        <f t="array" ref="I532">IFERROR(INDEX(Base_Estudiantes!$G$4:$G$505,MATCH(D532,Base_Estudiantes!$C$4:$C$505,0)),"")</f>
        <v/>
      </c>
      <c r="J532" s="7" t="str">
        <f t="array" ref="J532">IFERROR(INDEX(Base_Estudiantes!$H$4:$H$505,MATCH(D532,Base_Estudiantes!$C$4:$C$505,0)),"")</f>
        <v/>
      </c>
      <c r="K532" s="5"/>
      <c r="L532" s="5"/>
      <c r="M532" s="5"/>
      <c r="N532" s="5"/>
      <c r="O532" s="5"/>
      <c r="P532" s="5"/>
      <c r="Q532" s="5"/>
      <c r="R532" s="20"/>
      <c r="S532" s="5"/>
      <c r="T532" s="5"/>
    </row>
    <row r="533" spans="1:20" ht="15.75" customHeight="1">
      <c r="A533" s="19" t="str">
        <f t="shared" si="0"/>
        <v/>
      </c>
      <c r="B533" s="6"/>
      <c r="C533" s="20"/>
      <c r="D533" s="5"/>
      <c r="E533" s="7" t="str">
        <f t="array" ref="E533">IFERROR(INDEX(Base_Estudiantes!$A$4:$A$505,MATCH(D533,Base_Estudiantes!$C$4:$C$505,0)),"")</f>
        <v/>
      </c>
      <c r="F533" s="7" t="str">
        <f t="array" ref="F533">IFERROR(INDEX(Base_Estudiantes!$B$4:$B$505,MATCH(D533,Base_Estudiantes!$C$4:$C$505,0)),"")</f>
        <v/>
      </c>
      <c r="G533" s="7" t="str">
        <f t="array" ref="G533">IFERROR(INDEX(Base_Estudiantes!$D$4:$D$505,MATCH(D533,Base_Estudiantes!$C$4:$C$505,0)),"")</f>
        <v/>
      </c>
      <c r="H533" s="7" t="str">
        <f t="array" ref="H533">IFERROR(INDEX(Base_Estudiantes!$F$4:$F$505,MATCH(D533,Base_Estudiantes!$C$4:$C$505,0)),"")</f>
        <v/>
      </c>
      <c r="I533" s="7" t="str">
        <f t="array" ref="I533">IFERROR(INDEX(Base_Estudiantes!$G$4:$G$505,MATCH(D533,Base_Estudiantes!$C$4:$C$505,0)),"")</f>
        <v/>
      </c>
      <c r="J533" s="7" t="str">
        <f t="array" ref="J533">IFERROR(INDEX(Base_Estudiantes!$H$4:$H$505,MATCH(D533,Base_Estudiantes!$C$4:$C$505,0)),"")</f>
        <v/>
      </c>
      <c r="K533" s="5"/>
      <c r="L533" s="5"/>
      <c r="M533" s="5"/>
      <c r="N533" s="5"/>
      <c r="O533" s="5"/>
      <c r="P533" s="5"/>
      <c r="Q533" s="5"/>
      <c r="R533" s="20"/>
      <c r="S533" s="5"/>
      <c r="T533" s="5"/>
    </row>
    <row r="534" spans="1:20" ht="15.75" customHeight="1">
      <c r="A534" s="19" t="str">
        <f t="shared" si="0"/>
        <v/>
      </c>
      <c r="B534" s="6"/>
      <c r="C534" s="20"/>
      <c r="D534" s="5"/>
      <c r="E534" s="7" t="str">
        <f t="array" ref="E534">IFERROR(INDEX(Base_Estudiantes!$A$4:$A$505,MATCH(D534,Base_Estudiantes!$C$4:$C$505,0)),"")</f>
        <v/>
      </c>
      <c r="F534" s="7" t="str">
        <f t="array" ref="F534">IFERROR(INDEX(Base_Estudiantes!$B$4:$B$505,MATCH(D534,Base_Estudiantes!$C$4:$C$505,0)),"")</f>
        <v/>
      </c>
      <c r="G534" s="7" t="str">
        <f t="array" ref="G534">IFERROR(INDEX(Base_Estudiantes!$D$4:$D$505,MATCH(D534,Base_Estudiantes!$C$4:$C$505,0)),"")</f>
        <v/>
      </c>
      <c r="H534" s="7" t="str">
        <f t="array" ref="H534">IFERROR(INDEX(Base_Estudiantes!$F$4:$F$505,MATCH(D534,Base_Estudiantes!$C$4:$C$505,0)),"")</f>
        <v/>
      </c>
      <c r="I534" s="7" t="str">
        <f t="array" ref="I534">IFERROR(INDEX(Base_Estudiantes!$G$4:$G$505,MATCH(D534,Base_Estudiantes!$C$4:$C$505,0)),"")</f>
        <v/>
      </c>
      <c r="J534" s="7" t="str">
        <f t="array" ref="J534">IFERROR(INDEX(Base_Estudiantes!$H$4:$H$505,MATCH(D534,Base_Estudiantes!$C$4:$C$505,0)),"")</f>
        <v/>
      </c>
      <c r="K534" s="5"/>
      <c r="L534" s="5"/>
      <c r="M534" s="5"/>
      <c r="N534" s="5"/>
      <c r="O534" s="5"/>
      <c r="P534" s="5"/>
      <c r="Q534" s="5"/>
      <c r="R534" s="20"/>
      <c r="S534" s="5"/>
      <c r="T534" s="5"/>
    </row>
    <row r="535" spans="1:20" ht="15.75" customHeight="1">
      <c r="A535" s="19" t="str">
        <f t="shared" si="0"/>
        <v/>
      </c>
      <c r="B535" s="6"/>
      <c r="C535" s="20"/>
      <c r="D535" s="5"/>
      <c r="E535" s="7" t="str">
        <f t="array" ref="E535">IFERROR(INDEX(Base_Estudiantes!$A$4:$A$505,MATCH(D535,Base_Estudiantes!$C$4:$C$505,0)),"")</f>
        <v/>
      </c>
      <c r="F535" s="7" t="str">
        <f t="array" ref="F535">IFERROR(INDEX(Base_Estudiantes!$B$4:$B$505,MATCH(D535,Base_Estudiantes!$C$4:$C$505,0)),"")</f>
        <v/>
      </c>
      <c r="G535" s="7" t="str">
        <f t="array" ref="G535">IFERROR(INDEX(Base_Estudiantes!$D$4:$D$505,MATCH(D535,Base_Estudiantes!$C$4:$C$505,0)),"")</f>
        <v/>
      </c>
      <c r="H535" s="7" t="str">
        <f t="array" ref="H535">IFERROR(INDEX(Base_Estudiantes!$F$4:$F$505,MATCH(D535,Base_Estudiantes!$C$4:$C$505,0)),"")</f>
        <v/>
      </c>
      <c r="I535" s="7" t="str">
        <f t="array" ref="I535">IFERROR(INDEX(Base_Estudiantes!$G$4:$G$505,MATCH(D535,Base_Estudiantes!$C$4:$C$505,0)),"")</f>
        <v/>
      </c>
      <c r="J535" s="7" t="str">
        <f t="array" ref="J535">IFERROR(INDEX(Base_Estudiantes!$H$4:$H$505,MATCH(D535,Base_Estudiantes!$C$4:$C$505,0)),"")</f>
        <v/>
      </c>
      <c r="K535" s="5"/>
      <c r="L535" s="5"/>
      <c r="M535" s="5"/>
      <c r="N535" s="5"/>
      <c r="O535" s="5"/>
      <c r="P535" s="5"/>
      <c r="Q535" s="5"/>
      <c r="R535" s="20"/>
      <c r="S535" s="5"/>
      <c r="T535" s="5"/>
    </row>
    <row r="536" spans="1:20" ht="15.75" customHeight="1">
      <c r="A536" s="19" t="str">
        <f t="shared" si="0"/>
        <v/>
      </c>
      <c r="B536" s="6"/>
      <c r="C536" s="20"/>
      <c r="D536" s="5"/>
      <c r="E536" s="7" t="str">
        <f t="array" ref="E536">IFERROR(INDEX(Base_Estudiantes!$A$4:$A$505,MATCH(D536,Base_Estudiantes!$C$4:$C$505,0)),"")</f>
        <v/>
      </c>
      <c r="F536" s="7" t="str">
        <f t="array" ref="F536">IFERROR(INDEX(Base_Estudiantes!$B$4:$B$505,MATCH(D536,Base_Estudiantes!$C$4:$C$505,0)),"")</f>
        <v/>
      </c>
      <c r="G536" s="7" t="str">
        <f t="array" ref="G536">IFERROR(INDEX(Base_Estudiantes!$D$4:$D$505,MATCH(D536,Base_Estudiantes!$C$4:$C$505,0)),"")</f>
        <v/>
      </c>
      <c r="H536" s="7" t="str">
        <f t="array" ref="H536">IFERROR(INDEX(Base_Estudiantes!$F$4:$F$505,MATCH(D536,Base_Estudiantes!$C$4:$C$505,0)),"")</f>
        <v/>
      </c>
      <c r="I536" s="7" t="str">
        <f t="array" ref="I536">IFERROR(INDEX(Base_Estudiantes!$G$4:$G$505,MATCH(D536,Base_Estudiantes!$C$4:$C$505,0)),"")</f>
        <v/>
      </c>
      <c r="J536" s="7" t="str">
        <f t="array" ref="J536">IFERROR(INDEX(Base_Estudiantes!$H$4:$H$505,MATCH(D536,Base_Estudiantes!$C$4:$C$505,0)),"")</f>
        <v/>
      </c>
      <c r="K536" s="5"/>
      <c r="L536" s="5"/>
      <c r="M536" s="5"/>
      <c r="N536" s="5"/>
      <c r="O536" s="5"/>
      <c r="P536" s="5"/>
      <c r="Q536" s="5"/>
      <c r="R536" s="20"/>
      <c r="S536" s="5"/>
      <c r="T536" s="5"/>
    </row>
    <row r="537" spans="1:20" ht="15.75" customHeight="1">
      <c r="A537" s="19" t="str">
        <f t="shared" si="0"/>
        <v/>
      </c>
      <c r="B537" s="6"/>
      <c r="C537" s="20"/>
      <c r="D537" s="5"/>
      <c r="E537" s="7" t="str">
        <f t="array" ref="E537">IFERROR(INDEX(Base_Estudiantes!$A$4:$A$505,MATCH(D537,Base_Estudiantes!$C$4:$C$505,0)),"")</f>
        <v/>
      </c>
      <c r="F537" s="7" t="str">
        <f t="array" ref="F537">IFERROR(INDEX(Base_Estudiantes!$B$4:$B$505,MATCH(D537,Base_Estudiantes!$C$4:$C$505,0)),"")</f>
        <v/>
      </c>
      <c r="G537" s="7" t="str">
        <f t="array" ref="G537">IFERROR(INDEX(Base_Estudiantes!$D$4:$D$505,MATCH(D537,Base_Estudiantes!$C$4:$C$505,0)),"")</f>
        <v/>
      </c>
      <c r="H537" s="7" t="str">
        <f t="array" ref="H537">IFERROR(INDEX(Base_Estudiantes!$F$4:$F$505,MATCH(D537,Base_Estudiantes!$C$4:$C$505,0)),"")</f>
        <v/>
      </c>
      <c r="I537" s="7" t="str">
        <f t="array" ref="I537">IFERROR(INDEX(Base_Estudiantes!$G$4:$G$505,MATCH(D537,Base_Estudiantes!$C$4:$C$505,0)),"")</f>
        <v/>
      </c>
      <c r="J537" s="7" t="str">
        <f t="array" ref="J537">IFERROR(INDEX(Base_Estudiantes!$H$4:$H$505,MATCH(D537,Base_Estudiantes!$C$4:$C$505,0)),"")</f>
        <v/>
      </c>
      <c r="K537" s="5"/>
      <c r="L537" s="5"/>
      <c r="M537" s="5"/>
      <c r="N537" s="5"/>
      <c r="O537" s="5"/>
      <c r="P537" s="5"/>
      <c r="Q537" s="5"/>
      <c r="R537" s="20"/>
      <c r="S537" s="5"/>
      <c r="T537" s="5"/>
    </row>
    <row r="538" spans="1:20" ht="15.75" customHeight="1">
      <c r="A538" s="19" t="str">
        <f t="shared" si="0"/>
        <v/>
      </c>
      <c r="B538" s="6"/>
      <c r="C538" s="20"/>
      <c r="D538" s="5"/>
      <c r="E538" s="7" t="str">
        <f t="array" ref="E538">IFERROR(INDEX(Base_Estudiantes!$A$4:$A$505,MATCH(D538,Base_Estudiantes!$C$4:$C$505,0)),"")</f>
        <v/>
      </c>
      <c r="F538" s="7" t="str">
        <f t="array" ref="F538">IFERROR(INDEX(Base_Estudiantes!$B$4:$B$505,MATCH(D538,Base_Estudiantes!$C$4:$C$505,0)),"")</f>
        <v/>
      </c>
      <c r="G538" s="7" t="str">
        <f t="array" ref="G538">IFERROR(INDEX(Base_Estudiantes!$D$4:$D$505,MATCH(D538,Base_Estudiantes!$C$4:$C$505,0)),"")</f>
        <v/>
      </c>
      <c r="H538" s="7" t="str">
        <f t="array" ref="H538">IFERROR(INDEX(Base_Estudiantes!$F$4:$F$505,MATCH(D538,Base_Estudiantes!$C$4:$C$505,0)),"")</f>
        <v/>
      </c>
      <c r="I538" s="7" t="str">
        <f t="array" ref="I538">IFERROR(INDEX(Base_Estudiantes!$G$4:$G$505,MATCH(D538,Base_Estudiantes!$C$4:$C$505,0)),"")</f>
        <v/>
      </c>
      <c r="J538" s="7" t="str">
        <f t="array" ref="J538">IFERROR(INDEX(Base_Estudiantes!$H$4:$H$505,MATCH(D538,Base_Estudiantes!$C$4:$C$505,0)),"")</f>
        <v/>
      </c>
      <c r="K538" s="5"/>
      <c r="L538" s="5"/>
      <c r="M538" s="5"/>
      <c r="N538" s="5"/>
      <c r="O538" s="5"/>
      <c r="P538" s="5"/>
      <c r="Q538" s="5"/>
      <c r="R538" s="20"/>
      <c r="S538" s="5"/>
      <c r="T538" s="5"/>
    </row>
    <row r="539" spans="1:20" ht="15.75" customHeight="1">
      <c r="A539" s="19" t="str">
        <f t="shared" si="0"/>
        <v/>
      </c>
      <c r="B539" s="6"/>
      <c r="C539" s="20"/>
      <c r="D539" s="5"/>
      <c r="E539" s="7" t="str">
        <f t="array" ref="E539">IFERROR(INDEX(Base_Estudiantes!$A$4:$A$505,MATCH(D539,Base_Estudiantes!$C$4:$C$505,0)),"")</f>
        <v/>
      </c>
      <c r="F539" s="7" t="str">
        <f t="array" ref="F539">IFERROR(INDEX(Base_Estudiantes!$B$4:$B$505,MATCH(D539,Base_Estudiantes!$C$4:$C$505,0)),"")</f>
        <v/>
      </c>
      <c r="G539" s="7" t="str">
        <f t="array" ref="G539">IFERROR(INDEX(Base_Estudiantes!$D$4:$D$505,MATCH(D539,Base_Estudiantes!$C$4:$C$505,0)),"")</f>
        <v/>
      </c>
      <c r="H539" s="7" t="str">
        <f t="array" ref="H539">IFERROR(INDEX(Base_Estudiantes!$F$4:$F$505,MATCH(D539,Base_Estudiantes!$C$4:$C$505,0)),"")</f>
        <v/>
      </c>
      <c r="I539" s="7" t="str">
        <f t="array" ref="I539">IFERROR(INDEX(Base_Estudiantes!$G$4:$G$505,MATCH(D539,Base_Estudiantes!$C$4:$C$505,0)),"")</f>
        <v/>
      </c>
      <c r="J539" s="7" t="str">
        <f t="array" ref="J539">IFERROR(INDEX(Base_Estudiantes!$H$4:$H$505,MATCH(D539,Base_Estudiantes!$C$4:$C$505,0)),"")</f>
        <v/>
      </c>
      <c r="K539" s="5"/>
      <c r="L539" s="5"/>
      <c r="M539" s="5"/>
      <c r="N539" s="5"/>
      <c r="O539" s="5"/>
      <c r="P539" s="5"/>
      <c r="Q539" s="5"/>
      <c r="R539" s="20"/>
      <c r="S539" s="5"/>
      <c r="T539" s="5"/>
    </row>
    <row r="540" spans="1:20" ht="15.75" customHeight="1">
      <c r="A540" s="19" t="str">
        <f t="shared" si="0"/>
        <v/>
      </c>
      <c r="B540" s="6"/>
      <c r="C540" s="20"/>
      <c r="D540" s="5"/>
      <c r="E540" s="7" t="str">
        <f t="array" ref="E540">IFERROR(INDEX(Base_Estudiantes!$A$4:$A$505,MATCH(D540,Base_Estudiantes!$C$4:$C$505,0)),"")</f>
        <v/>
      </c>
      <c r="F540" s="7" t="str">
        <f t="array" ref="F540">IFERROR(INDEX(Base_Estudiantes!$B$4:$B$505,MATCH(D540,Base_Estudiantes!$C$4:$C$505,0)),"")</f>
        <v/>
      </c>
      <c r="G540" s="7" t="str">
        <f t="array" ref="G540">IFERROR(INDEX(Base_Estudiantes!$D$4:$D$505,MATCH(D540,Base_Estudiantes!$C$4:$C$505,0)),"")</f>
        <v/>
      </c>
      <c r="H540" s="7" t="str">
        <f t="array" ref="H540">IFERROR(INDEX(Base_Estudiantes!$F$4:$F$505,MATCH(D540,Base_Estudiantes!$C$4:$C$505,0)),"")</f>
        <v/>
      </c>
      <c r="I540" s="7" t="str">
        <f t="array" ref="I540">IFERROR(INDEX(Base_Estudiantes!$G$4:$G$505,MATCH(D540,Base_Estudiantes!$C$4:$C$505,0)),"")</f>
        <v/>
      </c>
      <c r="J540" s="7" t="str">
        <f t="array" ref="J540">IFERROR(INDEX(Base_Estudiantes!$H$4:$H$505,MATCH(D540,Base_Estudiantes!$C$4:$C$505,0)),"")</f>
        <v/>
      </c>
      <c r="K540" s="5"/>
      <c r="L540" s="5"/>
      <c r="M540" s="5"/>
      <c r="N540" s="5"/>
      <c r="O540" s="5"/>
      <c r="P540" s="5"/>
      <c r="Q540" s="5"/>
      <c r="R540" s="20"/>
      <c r="S540" s="5"/>
      <c r="T540" s="5"/>
    </row>
    <row r="541" spans="1:20" ht="15.75" customHeight="1">
      <c r="A541" s="19" t="str">
        <f t="shared" si="0"/>
        <v/>
      </c>
      <c r="B541" s="6"/>
      <c r="C541" s="20"/>
      <c r="D541" s="5"/>
      <c r="E541" s="7" t="str">
        <f t="array" ref="E541">IFERROR(INDEX(Base_Estudiantes!$A$4:$A$505,MATCH(D541,Base_Estudiantes!$C$4:$C$505,0)),"")</f>
        <v/>
      </c>
      <c r="F541" s="7" t="str">
        <f t="array" ref="F541">IFERROR(INDEX(Base_Estudiantes!$B$4:$B$505,MATCH(D541,Base_Estudiantes!$C$4:$C$505,0)),"")</f>
        <v/>
      </c>
      <c r="G541" s="7" t="str">
        <f t="array" ref="G541">IFERROR(INDEX(Base_Estudiantes!$D$4:$D$505,MATCH(D541,Base_Estudiantes!$C$4:$C$505,0)),"")</f>
        <v/>
      </c>
      <c r="H541" s="7" t="str">
        <f t="array" ref="H541">IFERROR(INDEX(Base_Estudiantes!$F$4:$F$505,MATCH(D541,Base_Estudiantes!$C$4:$C$505,0)),"")</f>
        <v/>
      </c>
      <c r="I541" s="7" t="str">
        <f t="array" ref="I541">IFERROR(INDEX(Base_Estudiantes!$G$4:$G$505,MATCH(D541,Base_Estudiantes!$C$4:$C$505,0)),"")</f>
        <v/>
      </c>
      <c r="J541" s="7" t="str">
        <f t="array" ref="J541">IFERROR(INDEX(Base_Estudiantes!$H$4:$H$505,MATCH(D541,Base_Estudiantes!$C$4:$C$505,0)),"")</f>
        <v/>
      </c>
      <c r="K541" s="5"/>
      <c r="L541" s="5"/>
      <c r="M541" s="5"/>
      <c r="N541" s="5"/>
      <c r="O541" s="5"/>
      <c r="P541" s="5"/>
      <c r="Q541" s="5"/>
      <c r="R541" s="20"/>
      <c r="S541" s="5"/>
      <c r="T541" s="5"/>
    </row>
    <row r="542" spans="1:20" ht="15.75" customHeight="1">
      <c r="A542" s="19" t="str">
        <f t="shared" si="0"/>
        <v/>
      </c>
      <c r="B542" s="6"/>
      <c r="C542" s="20"/>
      <c r="D542" s="5"/>
      <c r="E542" s="7" t="str">
        <f t="array" ref="E542">IFERROR(INDEX(Base_Estudiantes!$A$4:$A$505,MATCH(D542,Base_Estudiantes!$C$4:$C$505,0)),"")</f>
        <v/>
      </c>
      <c r="F542" s="7" t="str">
        <f t="array" ref="F542">IFERROR(INDEX(Base_Estudiantes!$B$4:$B$505,MATCH(D542,Base_Estudiantes!$C$4:$C$505,0)),"")</f>
        <v/>
      </c>
      <c r="G542" s="7" t="str">
        <f t="array" ref="G542">IFERROR(INDEX(Base_Estudiantes!$D$4:$D$505,MATCH(D542,Base_Estudiantes!$C$4:$C$505,0)),"")</f>
        <v/>
      </c>
      <c r="H542" s="7" t="str">
        <f t="array" ref="H542">IFERROR(INDEX(Base_Estudiantes!$F$4:$F$505,MATCH(D542,Base_Estudiantes!$C$4:$C$505,0)),"")</f>
        <v/>
      </c>
      <c r="I542" s="7" t="str">
        <f t="array" ref="I542">IFERROR(INDEX(Base_Estudiantes!$G$4:$G$505,MATCH(D542,Base_Estudiantes!$C$4:$C$505,0)),"")</f>
        <v/>
      </c>
      <c r="J542" s="7" t="str">
        <f t="array" ref="J542">IFERROR(INDEX(Base_Estudiantes!$H$4:$H$505,MATCH(D542,Base_Estudiantes!$C$4:$C$505,0)),"")</f>
        <v/>
      </c>
      <c r="K542" s="5"/>
      <c r="L542" s="5"/>
      <c r="M542" s="5"/>
      <c r="N542" s="5"/>
      <c r="O542" s="5"/>
      <c r="P542" s="5"/>
      <c r="Q542" s="5"/>
      <c r="R542" s="20"/>
      <c r="S542" s="5"/>
      <c r="T542" s="5"/>
    </row>
    <row r="543" spans="1:20" ht="15.75" customHeight="1">
      <c r="A543" s="19" t="str">
        <f t="shared" si="0"/>
        <v/>
      </c>
      <c r="B543" s="6"/>
      <c r="C543" s="20"/>
      <c r="D543" s="5"/>
      <c r="E543" s="7" t="str">
        <f t="array" ref="E543">IFERROR(INDEX(Base_Estudiantes!$A$4:$A$505,MATCH(D543,Base_Estudiantes!$C$4:$C$505,0)),"")</f>
        <v/>
      </c>
      <c r="F543" s="7" t="str">
        <f t="array" ref="F543">IFERROR(INDEX(Base_Estudiantes!$B$4:$B$505,MATCH(D543,Base_Estudiantes!$C$4:$C$505,0)),"")</f>
        <v/>
      </c>
      <c r="G543" s="7" t="str">
        <f t="array" ref="G543">IFERROR(INDEX(Base_Estudiantes!$D$4:$D$505,MATCH(D543,Base_Estudiantes!$C$4:$C$505,0)),"")</f>
        <v/>
      </c>
      <c r="H543" s="7" t="str">
        <f t="array" ref="H543">IFERROR(INDEX(Base_Estudiantes!$F$4:$F$505,MATCH(D543,Base_Estudiantes!$C$4:$C$505,0)),"")</f>
        <v/>
      </c>
      <c r="I543" s="7" t="str">
        <f t="array" ref="I543">IFERROR(INDEX(Base_Estudiantes!$G$4:$G$505,MATCH(D543,Base_Estudiantes!$C$4:$C$505,0)),"")</f>
        <v/>
      </c>
      <c r="J543" s="7" t="str">
        <f t="array" ref="J543">IFERROR(INDEX(Base_Estudiantes!$H$4:$H$505,MATCH(D543,Base_Estudiantes!$C$4:$C$505,0)),"")</f>
        <v/>
      </c>
      <c r="K543" s="5"/>
      <c r="L543" s="5"/>
      <c r="M543" s="5"/>
      <c r="N543" s="5"/>
      <c r="O543" s="5"/>
      <c r="P543" s="5"/>
      <c r="Q543" s="5"/>
      <c r="R543" s="20"/>
      <c r="S543" s="5"/>
      <c r="T543" s="5"/>
    </row>
    <row r="544" spans="1:20" ht="15.75" customHeight="1">
      <c r="A544" s="19" t="str">
        <f t="shared" si="0"/>
        <v/>
      </c>
      <c r="B544" s="6"/>
      <c r="C544" s="20"/>
      <c r="D544" s="5"/>
      <c r="E544" s="7" t="str">
        <f t="array" ref="E544">IFERROR(INDEX(Base_Estudiantes!$A$4:$A$505,MATCH(D544,Base_Estudiantes!$C$4:$C$505,0)),"")</f>
        <v/>
      </c>
      <c r="F544" s="7" t="str">
        <f t="array" ref="F544">IFERROR(INDEX(Base_Estudiantes!$B$4:$B$505,MATCH(D544,Base_Estudiantes!$C$4:$C$505,0)),"")</f>
        <v/>
      </c>
      <c r="G544" s="7" t="str">
        <f t="array" ref="G544">IFERROR(INDEX(Base_Estudiantes!$D$4:$D$505,MATCH(D544,Base_Estudiantes!$C$4:$C$505,0)),"")</f>
        <v/>
      </c>
      <c r="H544" s="7" t="str">
        <f t="array" ref="H544">IFERROR(INDEX(Base_Estudiantes!$F$4:$F$505,MATCH(D544,Base_Estudiantes!$C$4:$C$505,0)),"")</f>
        <v/>
      </c>
      <c r="I544" s="7" t="str">
        <f t="array" ref="I544">IFERROR(INDEX(Base_Estudiantes!$G$4:$G$505,MATCH(D544,Base_Estudiantes!$C$4:$C$505,0)),"")</f>
        <v/>
      </c>
      <c r="J544" s="7" t="str">
        <f t="array" ref="J544">IFERROR(INDEX(Base_Estudiantes!$H$4:$H$505,MATCH(D544,Base_Estudiantes!$C$4:$C$505,0)),"")</f>
        <v/>
      </c>
      <c r="K544" s="5"/>
      <c r="L544" s="5"/>
      <c r="M544" s="5"/>
      <c r="N544" s="5"/>
      <c r="O544" s="5"/>
      <c r="P544" s="5"/>
      <c r="Q544" s="5"/>
      <c r="R544" s="20"/>
      <c r="S544" s="5"/>
      <c r="T544" s="5"/>
    </row>
    <row r="545" spans="1:20" ht="15.75" customHeight="1">
      <c r="A545" s="19" t="str">
        <f t="shared" si="0"/>
        <v/>
      </c>
      <c r="B545" s="6"/>
      <c r="C545" s="20"/>
      <c r="D545" s="5"/>
      <c r="E545" s="7" t="str">
        <f t="array" ref="E545">IFERROR(INDEX(Base_Estudiantes!$A$4:$A$505,MATCH(D545,Base_Estudiantes!$C$4:$C$505,0)),"")</f>
        <v/>
      </c>
      <c r="F545" s="7" t="str">
        <f t="array" ref="F545">IFERROR(INDEX(Base_Estudiantes!$B$4:$B$505,MATCH(D545,Base_Estudiantes!$C$4:$C$505,0)),"")</f>
        <v/>
      </c>
      <c r="G545" s="7" t="str">
        <f t="array" ref="G545">IFERROR(INDEX(Base_Estudiantes!$D$4:$D$505,MATCH(D545,Base_Estudiantes!$C$4:$C$505,0)),"")</f>
        <v/>
      </c>
      <c r="H545" s="7" t="str">
        <f t="array" ref="H545">IFERROR(INDEX(Base_Estudiantes!$F$4:$F$505,MATCH(D545,Base_Estudiantes!$C$4:$C$505,0)),"")</f>
        <v/>
      </c>
      <c r="I545" s="7" t="str">
        <f t="array" ref="I545">IFERROR(INDEX(Base_Estudiantes!$G$4:$G$505,MATCH(D545,Base_Estudiantes!$C$4:$C$505,0)),"")</f>
        <v/>
      </c>
      <c r="J545" s="7" t="str">
        <f t="array" ref="J545">IFERROR(INDEX(Base_Estudiantes!$H$4:$H$505,MATCH(D545,Base_Estudiantes!$C$4:$C$505,0)),"")</f>
        <v/>
      </c>
      <c r="K545" s="5"/>
      <c r="L545" s="5"/>
      <c r="M545" s="5"/>
      <c r="N545" s="5"/>
      <c r="O545" s="5"/>
      <c r="P545" s="5"/>
      <c r="Q545" s="5"/>
      <c r="R545" s="20"/>
      <c r="S545" s="5"/>
      <c r="T545" s="5"/>
    </row>
    <row r="546" spans="1:20" ht="15.75" customHeight="1">
      <c r="A546" s="19" t="str">
        <f t="shared" si="0"/>
        <v/>
      </c>
      <c r="B546" s="6"/>
      <c r="C546" s="20"/>
      <c r="D546" s="5"/>
      <c r="E546" s="7" t="str">
        <f t="array" ref="E546">IFERROR(INDEX(Base_Estudiantes!$A$4:$A$505,MATCH(D546,Base_Estudiantes!$C$4:$C$505,0)),"")</f>
        <v/>
      </c>
      <c r="F546" s="7" t="str">
        <f t="array" ref="F546">IFERROR(INDEX(Base_Estudiantes!$B$4:$B$505,MATCH(D546,Base_Estudiantes!$C$4:$C$505,0)),"")</f>
        <v/>
      </c>
      <c r="G546" s="7" t="str">
        <f t="array" ref="G546">IFERROR(INDEX(Base_Estudiantes!$D$4:$D$505,MATCH(D546,Base_Estudiantes!$C$4:$C$505,0)),"")</f>
        <v/>
      </c>
      <c r="H546" s="7" t="str">
        <f t="array" ref="H546">IFERROR(INDEX(Base_Estudiantes!$F$4:$F$505,MATCH(D546,Base_Estudiantes!$C$4:$C$505,0)),"")</f>
        <v/>
      </c>
      <c r="I546" s="7" t="str">
        <f t="array" ref="I546">IFERROR(INDEX(Base_Estudiantes!$G$4:$G$505,MATCH(D546,Base_Estudiantes!$C$4:$C$505,0)),"")</f>
        <v/>
      </c>
      <c r="J546" s="7" t="str">
        <f t="array" ref="J546">IFERROR(INDEX(Base_Estudiantes!$H$4:$H$505,MATCH(D546,Base_Estudiantes!$C$4:$C$505,0)),"")</f>
        <v/>
      </c>
      <c r="K546" s="5"/>
      <c r="L546" s="5"/>
      <c r="M546" s="5"/>
      <c r="N546" s="5"/>
      <c r="O546" s="5"/>
      <c r="P546" s="5"/>
      <c r="Q546" s="5"/>
      <c r="R546" s="20"/>
      <c r="S546" s="5"/>
      <c r="T546" s="5"/>
    </row>
    <row r="547" spans="1:20" ht="15.75" customHeight="1">
      <c r="A547" s="19" t="str">
        <f t="shared" si="0"/>
        <v/>
      </c>
      <c r="B547" s="6"/>
      <c r="C547" s="20"/>
      <c r="D547" s="5"/>
      <c r="E547" s="7" t="str">
        <f t="array" ref="E547">IFERROR(INDEX(Base_Estudiantes!$A$4:$A$505,MATCH(D547,Base_Estudiantes!$C$4:$C$505,0)),"")</f>
        <v/>
      </c>
      <c r="F547" s="7" t="str">
        <f t="array" ref="F547">IFERROR(INDEX(Base_Estudiantes!$B$4:$B$505,MATCH(D547,Base_Estudiantes!$C$4:$C$505,0)),"")</f>
        <v/>
      </c>
      <c r="G547" s="7" t="str">
        <f t="array" ref="G547">IFERROR(INDEX(Base_Estudiantes!$D$4:$D$505,MATCH(D547,Base_Estudiantes!$C$4:$C$505,0)),"")</f>
        <v/>
      </c>
      <c r="H547" s="7" t="str">
        <f t="array" ref="H547">IFERROR(INDEX(Base_Estudiantes!$F$4:$F$505,MATCH(D547,Base_Estudiantes!$C$4:$C$505,0)),"")</f>
        <v/>
      </c>
      <c r="I547" s="7" t="str">
        <f t="array" ref="I547">IFERROR(INDEX(Base_Estudiantes!$G$4:$G$505,MATCH(D547,Base_Estudiantes!$C$4:$C$505,0)),"")</f>
        <v/>
      </c>
      <c r="J547" s="7" t="str">
        <f t="array" ref="J547">IFERROR(INDEX(Base_Estudiantes!$H$4:$H$505,MATCH(D547,Base_Estudiantes!$C$4:$C$505,0)),"")</f>
        <v/>
      </c>
      <c r="K547" s="5"/>
      <c r="L547" s="5"/>
      <c r="M547" s="5"/>
      <c r="N547" s="5"/>
      <c r="O547" s="5"/>
      <c r="P547" s="5"/>
      <c r="Q547" s="5"/>
      <c r="R547" s="20"/>
      <c r="S547" s="5"/>
      <c r="T547" s="5"/>
    </row>
    <row r="548" spans="1:20" ht="15.75" customHeight="1">
      <c r="A548" s="19" t="str">
        <f t="shared" si="0"/>
        <v/>
      </c>
      <c r="B548" s="6"/>
      <c r="C548" s="20"/>
      <c r="D548" s="5"/>
      <c r="E548" s="7" t="str">
        <f t="array" ref="E548">IFERROR(INDEX(Base_Estudiantes!$A$4:$A$505,MATCH(D548,Base_Estudiantes!$C$4:$C$505,0)),"")</f>
        <v/>
      </c>
      <c r="F548" s="7" t="str">
        <f t="array" ref="F548">IFERROR(INDEX(Base_Estudiantes!$B$4:$B$505,MATCH(D548,Base_Estudiantes!$C$4:$C$505,0)),"")</f>
        <v/>
      </c>
      <c r="G548" s="7" t="str">
        <f t="array" ref="G548">IFERROR(INDEX(Base_Estudiantes!$D$4:$D$505,MATCH(D548,Base_Estudiantes!$C$4:$C$505,0)),"")</f>
        <v/>
      </c>
      <c r="H548" s="7" t="str">
        <f t="array" ref="H548">IFERROR(INDEX(Base_Estudiantes!$F$4:$F$505,MATCH(D548,Base_Estudiantes!$C$4:$C$505,0)),"")</f>
        <v/>
      </c>
      <c r="I548" s="7" t="str">
        <f t="array" ref="I548">IFERROR(INDEX(Base_Estudiantes!$G$4:$G$505,MATCH(D548,Base_Estudiantes!$C$4:$C$505,0)),"")</f>
        <v/>
      </c>
      <c r="J548" s="7" t="str">
        <f t="array" ref="J548">IFERROR(INDEX(Base_Estudiantes!$H$4:$H$505,MATCH(D548,Base_Estudiantes!$C$4:$C$505,0)),"")</f>
        <v/>
      </c>
      <c r="K548" s="5"/>
      <c r="L548" s="5"/>
      <c r="M548" s="5"/>
      <c r="N548" s="5"/>
      <c r="O548" s="5"/>
      <c r="P548" s="5"/>
      <c r="Q548" s="5"/>
      <c r="R548" s="20"/>
      <c r="S548" s="5"/>
      <c r="T548" s="5"/>
    </row>
    <row r="549" spans="1:20" ht="15.75" customHeight="1">
      <c r="A549" s="19" t="str">
        <f t="shared" si="0"/>
        <v/>
      </c>
      <c r="B549" s="6"/>
      <c r="C549" s="20"/>
      <c r="D549" s="5"/>
      <c r="E549" s="7" t="str">
        <f t="array" ref="E549">IFERROR(INDEX(Base_Estudiantes!$A$4:$A$505,MATCH(D549,Base_Estudiantes!$C$4:$C$505,0)),"")</f>
        <v/>
      </c>
      <c r="F549" s="7" t="str">
        <f t="array" ref="F549">IFERROR(INDEX(Base_Estudiantes!$B$4:$B$505,MATCH(D549,Base_Estudiantes!$C$4:$C$505,0)),"")</f>
        <v/>
      </c>
      <c r="G549" s="7" t="str">
        <f t="array" ref="G549">IFERROR(INDEX(Base_Estudiantes!$D$4:$D$505,MATCH(D549,Base_Estudiantes!$C$4:$C$505,0)),"")</f>
        <v/>
      </c>
      <c r="H549" s="7" t="str">
        <f t="array" ref="H549">IFERROR(INDEX(Base_Estudiantes!$F$4:$F$505,MATCH(D549,Base_Estudiantes!$C$4:$C$505,0)),"")</f>
        <v/>
      </c>
      <c r="I549" s="7" t="str">
        <f t="array" ref="I549">IFERROR(INDEX(Base_Estudiantes!$G$4:$G$505,MATCH(D549,Base_Estudiantes!$C$4:$C$505,0)),"")</f>
        <v/>
      </c>
      <c r="J549" s="7" t="str">
        <f t="array" ref="J549">IFERROR(INDEX(Base_Estudiantes!$H$4:$H$505,MATCH(D549,Base_Estudiantes!$C$4:$C$505,0)),"")</f>
        <v/>
      </c>
      <c r="K549" s="5"/>
      <c r="L549" s="5"/>
      <c r="M549" s="5"/>
      <c r="N549" s="5"/>
      <c r="O549" s="5"/>
      <c r="P549" s="5"/>
      <c r="Q549" s="5"/>
      <c r="R549" s="20"/>
      <c r="S549" s="5"/>
      <c r="T549" s="5"/>
    </row>
    <row r="550" spans="1:20" ht="15.75" customHeight="1">
      <c r="A550" s="19" t="str">
        <f t="shared" si="0"/>
        <v/>
      </c>
      <c r="B550" s="6"/>
      <c r="C550" s="20"/>
      <c r="D550" s="5"/>
      <c r="E550" s="7" t="str">
        <f t="array" ref="E550">IFERROR(INDEX(Base_Estudiantes!$A$4:$A$505,MATCH(D550,Base_Estudiantes!$C$4:$C$505,0)),"")</f>
        <v/>
      </c>
      <c r="F550" s="7" t="str">
        <f t="array" ref="F550">IFERROR(INDEX(Base_Estudiantes!$B$4:$B$505,MATCH(D550,Base_Estudiantes!$C$4:$C$505,0)),"")</f>
        <v/>
      </c>
      <c r="G550" s="7" t="str">
        <f t="array" ref="G550">IFERROR(INDEX(Base_Estudiantes!$D$4:$D$505,MATCH(D550,Base_Estudiantes!$C$4:$C$505,0)),"")</f>
        <v/>
      </c>
      <c r="H550" s="7" t="str">
        <f t="array" ref="H550">IFERROR(INDEX(Base_Estudiantes!$F$4:$F$505,MATCH(D550,Base_Estudiantes!$C$4:$C$505,0)),"")</f>
        <v/>
      </c>
      <c r="I550" s="7" t="str">
        <f t="array" ref="I550">IFERROR(INDEX(Base_Estudiantes!$G$4:$G$505,MATCH(D550,Base_Estudiantes!$C$4:$C$505,0)),"")</f>
        <v/>
      </c>
      <c r="J550" s="7" t="str">
        <f t="array" ref="J550">IFERROR(INDEX(Base_Estudiantes!$H$4:$H$505,MATCH(D550,Base_Estudiantes!$C$4:$C$505,0)),"")</f>
        <v/>
      </c>
      <c r="K550" s="5"/>
      <c r="L550" s="5"/>
      <c r="M550" s="5"/>
      <c r="N550" s="5"/>
      <c r="O550" s="5"/>
      <c r="P550" s="5"/>
      <c r="Q550" s="5"/>
      <c r="R550" s="20"/>
      <c r="S550" s="5"/>
      <c r="T550" s="5"/>
    </row>
    <row r="551" spans="1:20" ht="15.75" customHeight="1">
      <c r="A551" s="19" t="str">
        <f t="shared" si="0"/>
        <v/>
      </c>
      <c r="B551" s="6"/>
      <c r="C551" s="20"/>
      <c r="D551" s="5"/>
      <c r="E551" s="7" t="str">
        <f t="array" ref="E551">IFERROR(INDEX(Base_Estudiantes!$A$4:$A$505,MATCH(D551,Base_Estudiantes!$C$4:$C$505,0)),"")</f>
        <v/>
      </c>
      <c r="F551" s="7" t="str">
        <f t="array" ref="F551">IFERROR(INDEX(Base_Estudiantes!$B$4:$B$505,MATCH(D551,Base_Estudiantes!$C$4:$C$505,0)),"")</f>
        <v/>
      </c>
      <c r="G551" s="7" t="str">
        <f t="array" ref="G551">IFERROR(INDEX(Base_Estudiantes!$D$4:$D$505,MATCH(D551,Base_Estudiantes!$C$4:$C$505,0)),"")</f>
        <v/>
      </c>
      <c r="H551" s="7" t="str">
        <f t="array" ref="H551">IFERROR(INDEX(Base_Estudiantes!$F$4:$F$505,MATCH(D551,Base_Estudiantes!$C$4:$C$505,0)),"")</f>
        <v/>
      </c>
      <c r="I551" s="7" t="str">
        <f t="array" ref="I551">IFERROR(INDEX(Base_Estudiantes!$G$4:$G$505,MATCH(D551,Base_Estudiantes!$C$4:$C$505,0)),"")</f>
        <v/>
      </c>
      <c r="J551" s="7" t="str">
        <f t="array" ref="J551">IFERROR(INDEX(Base_Estudiantes!$H$4:$H$505,MATCH(D551,Base_Estudiantes!$C$4:$C$505,0)),"")</f>
        <v/>
      </c>
      <c r="K551" s="5"/>
      <c r="L551" s="5"/>
      <c r="M551" s="5"/>
      <c r="N551" s="5"/>
      <c r="O551" s="5"/>
      <c r="P551" s="5"/>
      <c r="Q551" s="5"/>
      <c r="R551" s="20"/>
      <c r="S551" s="5"/>
      <c r="T551" s="5"/>
    </row>
    <row r="552" spans="1:20" ht="15.75" customHeight="1">
      <c r="A552" s="19" t="str">
        <f t="shared" si="0"/>
        <v/>
      </c>
      <c r="B552" s="6"/>
      <c r="C552" s="20"/>
      <c r="D552" s="5"/>
      <c r="E552" s="7" t="str">
        <f t="array" ref="E552">IFERROR(INDEX(Base_Estudiantes!$A$4:$A$505,MATCH(D552,Base_Estudiantes!$C$4:$C$505,0)),"")</f>
        <v/>
      </c>
      <c r="F552" s="7" t="str">
        <f t="array" ref="F552">IFERROR(INDEX(Base_Estudiantes!$B$4:$B$505,MATCH(D552,Base_Estudiantes!$C$4:$C$505,0)),"")</f>
        <v/>
      </c>
      <c r="G552" s="7" t="str">
        <f t="array" ref="G552">IFERROR(INDEX(Base_Estudiantes!$D$4:$D$505,MATCH(D552,Base_Estudiantes!$C$4:$C$505,0)),"")</f>
        <v/>
      </c>
      <c r="H552" s="7" t="str">
        <f t="array" ref="H552">IFERROR(INDEX(Base_Estudiantes!$F$4:$F$505,MATCH(D552,Base_Estudiantes!$C$4:$C$505,0)),"")</f>
        <v/>
      </c>
      <c r="I552" s="7" t="str">
        <f t="array" ref="I552">IFERROR(INDEX(Base_Estudiantes!$G$4:$G$505,MATCH(D552,Base_Estudiantes!$C$4:$C$505,0)),"")</f>
        <v/>
      </c>
      <c r="J552" s="7" t="str">
        <f t="array" ref="J552">IFERROR(INDEX(Base_Estudiantes!$H$4:$H$505,MATCH(D552,Base_Estudiantes!$C$4:$C$505,0)),"")</f>
        <v/>
      </c>
      <c r="K552" s="5"/>
      <c r="L552" s="5"/>
      <c r="M552" s="5"/>
      <c r="N552" s="5"/>
      <c r="O552" s="5"/>
      <c r="P552" s="5"/>
      <c r="Q552" s="5"/>
      <c r="R552" s="20"/>
      <c r="S552" s="5"/>
      <c r="T552" s="5"/>
    </row>
    <row r="553" spans="1:20" ht="15.75" customHeight="1">
      <c r="A553" s="19" t="str">
        <f t="shared" si="0"/>
        <v/>
      </c>
      <c r="B553" s="6"/>
      <c r="C553" s="20"/>
      <c r="D553" s="5"/>
      <c r="E553" s="7" t="str">
        <f t="array" ref="E553">IFERROR(INDEX(Base_Estudiantes!$A$4:$A$505,MATCH(D553,Base_Estudiantes!$C$4:$C$505,0)),"")</f>
        <v/>
      </c>
      <c r="F553" s="7" t="str">
        <f t="array" ref="F553">IFERROR(INDEX(Base_Estudiantes!$B$4:$B$505,MATCH(D553,Base_Estudiantes!$C$4:$C$505,0)),"")</f>
        <v/>
      </c>
      <c r="G553" s="7" t="str">
        <f t="array" ref="G553">IFERROR(INDEX(Base_Estudiantes!$D$4:$D$505,MATCH(D553,Base_Estudiantes!$C$4:$C$505,0)),"")</f>
        <v/>
      </c>
      <c r="H553" s="7" t="str">
        <f t="array" ref="H553">IFERROR(INDEX(Base_Estudiantes!$F$4:$F$505,MATCH(D553,Base_Estudiantes!$C$4:$C$505,0)),"")</f>
        <v/>
      </c>
      <c r="I553" s="7" t="str">
        <f t="array" ref="I553">IFERROR(INDEX(Base_Estudiantes!$G$4:$G$505,MATCH(D553,Base_Estudiantes!$C$4:$C$505,0)),"")</f>
        <v/>
      </c>
      <c r="J553" s="7" t="str">
        <f t="array" ref="J553">IFERROR(INDEX(Base_Estudiantes!$H$4:$H$505,MATCH(D553,Base_Estudiantes!$C$4:$C$505,0)),"")</f>
        <v/>
      </c>
      <c r="K553" s="5"/>
      <c r="L553" s="5"/>
      <c r="M553" s="5"/>
      <c r="N553" s="5"/>
      <c r="O553" s="5"/>
      <c r="P553" s="5"/>
      <c r="Q553" s="5"/>
      <c r="R553" s="20"/>
      <c r="S553" s="5"/>
      <c r="T553" s="5"/>
    </row>
    <row r="554" spans="1:20" ht="15.75" customHeight="1">
      <c r="A554" s="19" t="str">
        <f t="shared" si="0"/>
        <v/>
      </c>
      <c r="B554" s="6"/>
      <c r="C554" s="20"/>
      <c r="D554" s="5"/>
      <c r="E554" s="7" t="str">
        <f t="array" ref="E554">IFERROR(INDEX(Base_Estudiantes!$A$4:$A$505,MATCH(D554,Base_Estudiantes!$C$4:$C$505,0)),"")</f>
        <v/>
      </c>
      <c r="F554" s="7" t="str">
        <f t="array" ref="F554">IFERROR(INDEX(Base_Estudiantes!$B$4:$B$505,MATCH(D554,Base_Estudiantes!$C$4:$C$505,0)),"")</f>
        <v/>
      </c>
      <c r="G554" s="7" t="str">
        <f t="array" ref="G554">IFERROR(INDEX(Base_Estudiantes!$D$4:$D$505,MATCH(D554,Base_Estudiantes!$C$4:$C$505,0)),"")</f>
        <v/>
      </c>
      <c r="H554" s="7" t="str">
        <f t="array" ref="H554">IFERROR(INDEX(Base_Estudiantes!$F$4:$F$505,MATCH(D554,Base_Estudiantes!$C$4:$C$505,0)),"")</f>
        <v/>
      </c>
      <c r="I554" s="7" t="str">
        <f t="array" ref="I554">IFERROR(INDEX(Base_Estudiantes!$G$4:$G$505,MATCH(D554,Base_Estudiantes!$C$4:$C$505,0)),"")</f>
        <v/>
      </c>
      <c r="J554" s="7" t="str">
        <f t="array" ref="J554">IFERROR(INDEX(Base_Estudiantes!$H$4:$H$505,MATCH(D554,Base_Estudiantes!$C$4:$C$505,0)),"")</f>
        <v/>
      </c>
      <c r="K554" s="5"/>
      <c r="L554" s="5"/>
      <c r="M554" s="5"/>
      <c r="N554" s="5"/>
      <c r="O554" s="5"/>
      <c r="P554" s="5"/>
      <c r="Q554" s="5"/>
      <c r="R554" s="20"/>
      <c r="S554" s="5"/>
      <c r="T554" s="5"/>
    </row>
    <row r="555" spans="1:20" ht="15.75" customHeight="1">
      <c r="A555" s="19" t="str">
        <f t="shared" si="0"/>
        <v/>
      </c>
      <c r="B555" s="6"/>
      <c r="C555" s="20"/>
      <c r="D555" s="5"/>
      <c r="E555" s="7" t="str">
        <f t="array" ref="E555">IFERROR(INDEX(Base_Estudiantes!$A$4:$A$505,MATCH(D555,Base_Estudiantes!$C$4:$C$505,0)),"")</f>
        <v/>
      </c>
      <c r="F555" s="7" t="str">
        <f t="array" ref="F555">IFERROR(INDEX(Base_Estudiantes!$B$4:$B$505,MATCH(D555,Base_Estudiantes!$C$4:$C$505,0)),"")</f>
        <v/>
      </c>
      <c r="G555" s="7" t="str">
        <f t="array" ref="G555">IFERROR(INDEX(Base_Estudiantes!$D$4:$D$505,MATCH(D555,Base_Estudiantes!$C$4:$C$505,0)),"")</f>
        <v/>
      </c>
      <c r="H555" s="7" t="str">
        <f t="array" ref="H555">IFERROR(INDEX(Base_Estudiantes!$F$4:$F$505,MATCH(D555,Base_Estudiantes!$C$4:$C$505,0)),"")</f>
        <v/>
      </c>
      <c r="I555" s="7" t="str">
        <f t="array" ref="I555">IFERROR(INDEX(Base_Estudiantes!$G$4:$G$505,MATCH(D555,Base_Estudiantes!$C$4:$C$505,0)),"")</f>
        <v/>
      </c>
      <c r="J555" s="7" t="str">
        <f t="array" ref="J555">IFERROR(INDEX(Base_Estudiantes!$H$4:$H$505,MATCH(D555,Base_Estudiantes!$C$4:$C$505,0)),"")</f>
        <v/>
      </c>
      <c r="K555" s="5"/>
      <c r="L555" s="5"/>
      <c r="M555" s="5"/>
      <c r="N555" s="5"/>
      <c r="O555" s="5"/>
      <c r="P555" s="5"/>
      <c r="Q555" s="5"/>
      <c r="R555" s="20"/>
      <c r="S555" s="5"/>
      <c r="T555" s="5"/>
    </row>
    <row r="556" spans="1:20" ht="15.75" customHeight="1">
      <c r="A556" s="19" t="str">
        <f t="shared" si="0"/>
        <v/>
      </c>
      <c r="B556" s="6"/>
      <c r="C556" s="20"/>
      <c r="D556" s="5"/>
      <c r="E556" s="7" t="str">
        <f t="array" ref="E556">IFERROR(INDEX(Base_Estudiantes!$A$4:$A$505,MATCH(D556,Base_Estudiantes!$C$4:$C$505,0)),"")</f>
        <v/>
      </c>
      <c r="F556" s="7" t="str">
        <f t="array" ref="F556">IFERROR(INDEX(Base_Estudiantes!$B$4:$B$505,MATCH(D556,Base_Estudiantes!$C$4:$C$505,0)),"")</f>
        <v/>
      </c>
      <c r="G556" s="7" t="str">
        <f t="array" ref="G556">IFERROR(INDEX(Base_Estudiantes!$D$4:$D$505,MATCH(D556,Base_Estudiantes!$C$4:$C$505,0)),"")</f>
        <v/>
      </c>
      <c r="H556" s="7" t="str">
        <f t="array" ref="H556">IFERROR(INDEX(Base_Estudiantes!$F$4:$F$505,MATCH(D556,Base_Estudiantes!$C$4:$C$505,0)),"")</f>
        <v/>
      </c>
      <c r="I556" s="7" t="str">
        <f t="array" ref="I556">IFERROR(INDEX(Base_Estudiantes!$G$4:$G$505,MATCH(D556,Base_Estudiantes!$C$4:$C$505,0)),"")</f>
        <v/>
      </c>
      <c r="J556" s="7" t="str">
        <f t="array" ref="J556">IFERROR(INDEX(Base_Estudiantes!$H$4:$H$505,MATCH(D556,Base_Estudiantes!$C$4:$C$505,0)),"")</f>
        <v/>
      </c>
      <c r="K556" s="5"/>
      <c r="L556" s="5"/>
      <c r="M556" s="5"/>
      <c r="N556" s="5"/>
      <c r="O556" s="5"/>
      <c r="P556" s="5"/>
      <c r="Q556" s="5"/>
      <c r="R556" s="20"/>
      <c r="S556" s="5"/>
      <c r="T556" s="5"/>
    </row>
    <row r="557" spans="1:20" ht="15.75" customHeight="1">
      <c r="A557" s="19" t="str">
        <f t="shared" si="0"/>
        <v/>
      </c>
      <c r="B557" s="6"/>
      <c r="C557" s="20"/>
      <c r="D557" s="5"/>
      <c r="E557" s="7" t="str">
        <f t="array" ref="E557">IFERROR(INDEX(Base_Estudiantes!$A$4:$A$505,MATCH(D557,Base_Estudiantes!$C$4:$C$505,0)),"")</f>
        <v/>
      </c>
      <c r="F557" s="7" t="str">
        <f t="array" ref="F557">IFERROR(INDEX(Base_Estudiantes!$B$4:$B$505,MATCH(D557,Base_Estudiantes!$C$4:$C$505,0)),"")</f>
        <v/>
      </c>
      <c r="G557" s="7" t="str">
        <f t="array" ref="G557">IFERROR(INDEX(Base_Estudiantes!$D$4:$D$505,MATCH(D557,Base_Estudiantes!$C$4:$C$505,0)),"")</f>
        <v/>
      </c>
      <c r="H557" s="7" t="str">
        <f t="array" ref="H557">IFERROR(INDEX(Base_Estudiantes!$F$4:$F$505,MATCH(D557,Base_Estudiantes!$C$4:$C$505,0)),"")</f>
        <v/>
      </c>
      <c r="I557" s="7" t="str">
        <f t="array" ref="I557">IFERROR(INDEX(Base_Estudiantes!$G$4:$G$505,MATCH(D557,Base_Estudiantes!$C$4:$C$505,0)),"")</f>
        <v/>
      </c>
      <c r="J557" s="7" t="str">
        <f t="array" ref="J557">IFERROR(INDEX(Base_Estudiantes!$H$4:$H$505,MATCH(D557,Base_Estudiantes!$C$4:$C$505,0)),"")</f>
        <v/>
      </c>
      <c r="K557" s="5"/>
      <c r="L557" s="5"/>
      <c r="M557" s="5"/>
      <c r="N557" s="5"/>
      <c r="O557" s="5"/>
      <c r="P557" s="5"/>
      <c r="Q557" s="5"/>
      <c r="R557" s="20"/>
      <c r="S557" s="5"/>
      <c r="T557" s="5"/>
    </row>
    <row r="558" spans="1:20" ht="15.75" customHeight="1">
      <c r="A558" s="19" t="str">
        <f t="shared" si="0"/>
        <v/>
      </c>
      <c r="B558" s="6"/>
      <c r="C558" s="20"/>
      <c r="D558" s="5"/>
      <c r="E558" s="7" t="str">
        <f t="array" ref="E558">IFERROR(INDEX(Base_Estudiantes!$A$4:$A$505,MATCH(D558,Base_Estudiantes!$C$4:$C$505,0)),"")</f>
        <v/>
      </c>
      <c r="F558" s="7" t="str">
        <f t="array" ref="F558">IFERROR(INDEX(Base_Estudiantes!$B$4:$B$505,MATCH(D558,Base_Estudiantes!$C$4:$C$505,0)),"")</f>
        <v/>
      </c>
      <c r="G558" s="7" t="str">
        <f t="array" ref="G558">IFERROR(INDEX(Base_Estudiantes!$D$4:$D$505,MATCH(D558,Base_Estudiantes!$C$4:$C$505,0)),"")</f>
        <v/>
      </c>
      <c r="H558" s="7" t="str">
        <f t="array" ref="H558">IFERROR(INDEX(Base_Estudiantes!$F$4:$F$505,MATCH(D558,Base_Estudiantes!$C$4:$C$505,0)),"")</f>
        <v/>
      </c>
      <c r="I558" s="7" t="str">
        <f t="array" ref="I558">IFERROR(INDEX(Base_Estudiantes!$G$4:$G$505,MATCH(D558,Base_Estudiantes!$C$4:$C$505,0)),"")</f>
        <v/>
      </c>
      <c r="J558" s="7" t="str">
        <f t="array" ref="J558">IFERROR(INDEX(Base_Estudiantes!$H$4:$H$505,MATCH(D558,Base_Estudiantes!$C$4:$C$505,0)),"")</f>
        <v/>
      </c>
      <c r="K558" s="5"/>
      <c r="L558" s="5"/>
      <c r="M558" s="5"/>
      <c r="N558" s="5"/>
      <c r="O558" s="5"/>
      <c r="P558" s="5"/>
      <c r="Q558" s="5"/>
      <c r="R558" s="20"/>
      <c r="S558" s="5"/>
      <c r="T558" s="5"/>
    </row>
    <row r="559" spans="1:20" ht="15.75" customHeight="1">
      <c r="A559" s="19" t="str">
        <f t="shared" si="0"/>
        <v/>
      </c>
      <c r="B559" s="6"/>
      <c r="C559" s="20"/>
      <c r="D559" s="5"/>
      <c r="E559" s="7" t="str">
        <f t="array" ref="E559">IFERROR(INDEX(Base_Estudiantes!$A$4:$A$505,MATCH(D559,Base_Estudiantes!$C$4:$C$505,0)),"")</f>
        <v/>
      </c>
      <c r="F559" s="7" t="str">
        <f t="array" ref="F559">IFERROR(INDEX(Base_Estudiantes!$B$4:$B$505,MATCH(D559,Base_Estudiantes!$C$4:$C$505,0)),"")</f>
        <v/>
      </c>
      <c r="G559" s="7" t="str">
        <f t="array" ref="G559">IFERROR(INDEX(Base_Estudiantes!$D$4:$D$505,MATCH(D559,Base_Estudiantes!$C$4:$C$505,0)),"")</f>
        <v/>
      </c>
      <c r="H559" s="7" t="str">
        <f t="array" ref="H559">IFERROR(INDEX(Base_Estudiantes!$F$4:$F$505,MATCH(D559,Base_Estudiantes!$C$4:$C$505,0)),"")</f>
        <v/>
      </c>
      <c r="I559" s="7" t="str">
        <f t="array" ref="I559">IFERROR(INDEX(Base_Estudiantes!$G$4:$G$505,MATCH(D559,Base_Estudiantes!$C$4:$C$505,0)),"")</f>
        <v/>
      </c>
      <c r="J559" s="7" t="str">
        <f t="array" ref="J559">IFERROR(INDEX(Base_Estudiantes!$H$4:$H$505,MATCH(D559,Base_Estudiantes!$C$4:$C$505,0)),"")</f>
        <v/>
      </c>
      <c r="K559" s="5"/>
      <c r="L559" s="5"/>
      <c r="M559" s="5"/>
      <c r="N559" s="5"/>
      <c r="O559" s="5"/>
      <c r="P559" s="5"/>
      <c r="Q559" s="5"/>
      <c r="R559" s="20"/>
      <c r="S559" s="5"/>
      <c r="T559" s="5"/>
    </row>
    <row r="560" spans="1:20" ht="15.75" customHeight="1">
      <c r="A560" s="19" t="str">
        <f t="shared" si="0"/>
        <v/>
      </c>
      <c r="B560" s="6"/>
      <c r="C560" s="20"/>
      <c r="D560" s="5"/>
      <c r="E560" s="7" t="str">
        <f t="array" ref="E560">IFERROR(INDEX(Base_Estudiantes!$A$4:$A$505,MATCH(D560,Base_Estudiantes!$C$4:$C$505,0)),"")</f>
        <v/>
      </c>
      <c r="F560" s="7" t="str">
        <f t="array" ref="F560">IFERROR(INDEX(Base_Estudiantes!$B$4:$B$505,MATCH(D560,Base_Estudiantes!$C$4:$C$505,0)),"")</f>
        <v/>
      </c>
      <c r="G560" s="7" t="str">
        <f t="array" ref="G560">IFERROR(INDEX(Base_Estudiantes!$D$4:$D$505,MATCH(D560,Base_Estudiantes!$C$4:$C$505,0)),"")</f>
        <v/>
      </c>
      <c r="H560" s="7" t="str">
        <f t="array" ref="H560">IFERROR(INDEX(Base_Estudiantes!$F$4:$F$505,MATCH(D560,Base_Estudiantes!$C$4:$C$505,0)),"")</f>
        <v/>
      </c>
      <c r="I560" s="7" t="str">
        <f t="array" ref="I560">IFERROR(INDEX(Base_Estudiantes!$G$4:$G$505,MATCH(D560,Base_Estudiantes!$C$4:$C$505,0)),"")</f>
        <v/>
      </c>
      <c r="J560" s="7" t="str">
        <f t="array" ref="J560">IFERROR(INDEX(Base_Estudiantes!$H$4:$H$505,MATCH(D560,Base_Estudiantes!$C$4:$C$505,0)),"")</f>
        <v/>
      </c>
      <c r="K560" s="5"/>
      <c r="L560" s="5"/>
      <c r="M560" s="5"/>
      <c r="N560" s="5"/>
      <c r="O560" s="5"/>
      <c r="P560" s="5"/>
      <c r="Q560" s="5"/>
      <c r="R560" s="20"/>
      <c r="S560" s="5"/>
      <c r="T560" s="5"/>
    </row>
    <row r="561" spans="1:20" ht="15.75" customHeight="1">
      <c r="A561" s="19" t="str">
        <f t="shared" si="0"/>
        <v/>
      </c>
      <c r="B561" s="6"/>
      <c r="C561" s="20"/>
      <c r="D561" s="5"/>
      <c r="E561" s="7" t="str">
        <f t="array" ref="E561">IFERROR(INDEX(Base_Estudiantes!$A$4:$A$505,MATCH(D561,Base_Estudiantes!$C$4:$C$505,0)),"")</f>
        <v/>
      </c>
      <c r="F561" s="7" t="str">
        <f t="array" ref="F561">IFERROR(INDEX(Base_Estudiantes!$B$4:$B$505,MATCH(D561,Base_Estudiantes!$C$4:$C$505,0)),"")</f>
        <v/>
      </c>
      <c r="G561" s="7" t="str">
        <f t="array" ref="G561">IFERROR(INDEX(Base_Estudiantes!$D$4:$D$505,MATCH(D561,Base_Estudiantes!$C$4:$C$505,0)),"")</f>
        <v/>
      </c>
      <c r="H561" s="7" t="str">
        <f t="array" ref="H561">IFERROR(INDEX(Base_Estudiantes!$F$4:$F$505,MATCH(D561,Base_Estudiantes!$C$4:$C$505,0)),"")</f>
        <v/>
      </c>
      <c r="I561" s="7" t="str">
        <f t="array" ref="I561">IFERROR(INDEX(Base_Estudiantes!$G$4:$G$505,MATCH(D561,Base_Estudiantes!$C$4:$C$505,0)),"")</f>
        <v/>
      </c>
      <c r="J561" s="7" t="str">
        <f t="array" ref="J561">IFERROR(INDEX(Base_Estudiantes!$H$4:$H$505,MATCH(D561,Base_Estudiantes!$C$4:$C$505,0)),"")</f>
        <v/>
      </c>
      <c r="K561" s="5"/>
      <c r="L561" s="5"/>
      <c r="M561" s="5"/>
      <c r="N561" s="5"/>
      <c r="O561" s="5"/>
      <c r="P561" s="5"/>
      <c r="Q561" s="5"/>
      <c r="R561" s="20"/>
      <c r="S561" s="5"/>
      <c r="T561" s="5"/>
    </row>
    <row r="562" spans="1:20" ht="15.75" customHeight="1">
      <c r="A562" s="19" t="str">
        <f t="shared" si="0"/>
        <v/>
      </c>
      <c r="B562" s="6"/>
      <c r="C562" s="20"/>
      <c r="D562" s="5"/>
      <c r="E562" s="7" t="str">
        <f t="array" ref="E562">IFERROR(INDEX(Base_Estudiantes!$A$4:$A$505,MATCH(D562,Base_Estudiantes!$C$4:$C$505,0)),"")</f>
        <v/>
      </c>
      <c r="F562" s="7" t="str">
        <f t="array" ref="F562">IFERROR(INDEX(Base_Estudiantes!$B$4:$B$505,MATCH(D562,Base_Estudiantes!$C$4:$C$505,0)),"")</f>
        <v/>
      </c>
      <c r="G562" s="7" t="str">
        <f t="array" ref="G562">IFERROR(INDEX(Base_Estudiantes!$D$4:$D$505,MATCH(D562,Base_Estudiantes!$C$4:$C$505,0)),"")</f>
        <v/>
      </c>
      <c r="H562" s="7" t="str">
        <f t="array" ref="H562">IFERROR(INDEX(Base_Estudiantes!$F$4:$F$505,MATCH(D562,Base_Estudiantes!$C$4:$C$505,0)),"")</f>
        <v/>
      </c>
      <c r="I562" s="7" t="str">
        <f t="array" ref="I562">IFERROR(INDEX(Base_Estudiantes!$G$4:$G$505,MATCH(D562,Base_Estudiantes!$C$4:$C$505,0)),"")</f>
        <v/>
      </c>
      <c r="J562" s="7" t="str">
        <f t="array" ref="J562">IFERROR(INDEX(Base_Estudiantes!$H$4:$H$505,MATCH(D562,Base_Estudiantes!$C$4:$C$505,0)),"")</f>
        <v/>
      </c>
      <c r="K562" s="5"/>
      <c r="L562" s="5"/>
      <c r="M562" s="5"/>
      <c r="N562" s="5"/>
      <c r="O562" s="5"/>
      <c r="P562" s="5"/>
      <c r="Q562" s="5"/>
      <c r="R562" s="20"/>
      <c r="S562" s="5"/>
      <c r="T562" s="5"/>
    </row>
    <row r="563" spans="1:20" ht="15.75" customHeight="1">
      <c r="A563" s="19" t="str">
        <f t="shared" si="0"/>
        <v/>
      </c>
      <c r="B563" s="6"/>
      <c r="C563" s="20"/>
      <c r="D563" s="5"/>
      <c r="E563" s="7" t="str">
        <f t="array" ref="E563">IFERROR(INDEX(Base_Estudiantes!$A$4:$A$505,MATCH(D563,Base_Estudiantes!$C$4:$C$505,0)),"")</f>
        <v/>
      </c>
      <c r="F563" s="7" t="str">
        <f t="array" ref="F563">IFERROR(INDEX(Base_Estudiantes!$B$4:$B$505,MATCH(D563,Base_Estudiantes!$C$4:$C$505,0)),"")</f>
        <v/>
      </c>
      <c r="G563" s="7" t="str">
        <f t="array" ref="G563">IFERROR(INDEX(Base_Estudiantes!$D$4:$D$505,MATCH(D563,Base_Estudiantes!$C$4:$C$505,0)),"")</f>
        <v/>
      </c>
      <c r="H563" s="7" t="str">
        <f t="array" ref="H563">IFERROR(INDEX(Base_Estudiantes!$F$4:$F$505,MATCH(D563,Base_Estudiantes!$C$4:$C$505,0)),"")</f>
        <v/>
      </c>
      <c r="I563" s="7" t="str">
        <f t="array" ref="I563">IFERROR(INDEX(Base_Estudiantes!$G$4:$G$505,MATCH(D563,Base_Estudiantes!$C$4:$C$505,0)),"")</f>
        <v/>
      </c>
      <c r="J563" s="7" t="str">
        <f t="array" ref="J563">IFERROR(INDEX(Base_Estudiantes!$H$4:$H$505,MATCH(D563,Base_Estudiantes!$C$4:$C$505,0)),"")</f>
        <v/>
      </c>
      <c r="K563" s="5"/>
      <c r="L563" s="5"/>
      <c r="M563" s="5"/>
      <c r="N563" s="5"/>
      <c r="O563" s="5"/>
      <c r="P563" s="5"/>
      <c r="Q563" s="5"/>
      <c r="R563" s="20"/>
      <c r="S563" s="5"/>
      <c r="T563" s="5"/>
    </row>
    <row r="564" spans="1:20" ht="15.75" customHeight="1">
      <c r="A564" s="19" t="str">
        <f t="shared" si="0"/>
        <v/>
      </c>
      <c r="B564" s="6"/>
      <c r="C564" s="20"/>
      <c r="D564" s="5"/>
      <c r="E564" s="7" t="str">
        <f t="array" ref="E564">IFERROR(INDEX(Base_Estudiantes!$A$4:$A$505,MATCH(D564,Base_Estudiantes!$C$4:$C$505,0)),"")</f>
        <v/>
      </c>
      <c r="F564" s="7" t="str">
        <f t="array" ref="F564">IFERROR(INDEX(Base_Estudiantes!$B$4:$B$505,MATCH(D564,Base_Estudiantes!$C$4:$C$505,0)),"")</f>
        <v/>
      </c>
      <c r="G564" s="7" t="str">
        <f t="array" ref="G564">IFERROR(INDEX(Base_Estudiantes!$D$4:$D$505,MATCH(D564,Base_Estudiantes!$C$4:$C$505,0)),"")</f>
        <v/>
      </c>
      <c r="H564" s="7" t="str">
        <f t="array" ref="H564">IFERROR(INDEX(Base_Estudiantes!$F$4:$F$505,MATCH(D564,Base_Estudiantes!$C$4:$C$505,0)),"")</f>
        <v/>
      </c>
      <c r="I564" s="7" t="str">
        <f t="array" ref="I564">IFERROR(INDEX(Base_Estudiantes!$G$4:$G$505,MATCH(D564,Base_Estudiantes!$C$4:$C$505,0)),"")</f>
        <v/>
      </c>
      <c r="J564" s="7" t="str">
        <f t="array" ref="J564">IFERROR(INDEX(Base_Estudiantes!$H$4:$H$505,MATCH(D564,Base_Estudiantes!$C$4:$C$505,0)),"")</f>
        <v/>
      </c>
      <c r="K564" s="5"/>
      <c r="L564" s="5"/>
      <c r="M564" s="5"/>
      <c r="N564" s="5"/>
      <c r="O564" s="5"/>
      <c r="P564" s="5"/>
      <c r="Q564" s="5"/>
      <c r="R564" s="20"/>
      <c r="S564" s="5"/>
      <c r="T564" s="5"/>
    </row>
    <row r="565" spans="1:20" ht="15.75" customHeight="1">
      <c r="A565" s="19" t="str">
        <f t="shared" si="0"/>
        <v/>
      </c>
      <c r="B565" s="6"/>
      <c r="C565" s="20"/>
      <c r="D565" s="5"/>
      <c r="E565" s="7" t="str">
        <f t="array" ref="E565">IFERROR(INDEX(Base_Estudiantes!$A$4:$A$505,MATCH(D565,Base_Estudiantes!$C$4:$C$505,0)),"")</f>
        <v/>
      </c>
      <c r="F565" s="7" t="str">
        <f t="array" ref="F565">IFERROR(INDEX(Base_Estudiantes!$B$4:$B$505,MATCH(D565,Base_Estudiantes!$C$4:$C$505,0)),"")</f>
        <v/>
      </c>
      <c r="G565" s="7" t="str">
        <f t="array" ref="G565">IFERROR(INDEX(Base_Estudiantes!$D$4:$D$505,MATCH(D565,Base_Estudiantes!$C$4:$C$505,0)),"")</f>
        <v/>
      </c>
      <c r="H565" s="7" t="str">
        <f t="array" ref="H565">IFERROR(INDEX(Base_Estudiantes!$F$4:$F$505,MATCH(D565,Base_Estudiantes!$C$4:$C$505,0)),"")</f>
        <v/>
      </c>
      <c r="I565" s="7" t="str">
        <f t="array" ref="I565">IFERROR(INDEX(Base_Estudiantes!$G$4:$G$505,MATCH(D565,Base_Estudiantes!$C$4:$C$505,0)),"")</f>
        <v/>
      </c>
      <c r="J565" s="7" t="str">
        <f t="array" ref="J565">IFERROR(INDEX(Base_Estudiantes!$H$4:$H$505,MATCH(D565,Base_Estudiantes!$C$4:$C$505,0)),"")</f>
        <v/>
      </c>
      <c r="K565" s="5"/>
      <c r="L565" s="5"/>
      <c r="M565" s="5"/>
      <c r="N565" s="5"/>
      <c r="O565" s="5"/>
      <c r="P565" s="5"/>
      <c r="Q565" s="5"/>
      <c r="R565" s="20"/>
      <c r="S565" s="5"/>
      <c r="T565" s="5"/>
    </row>
    <row r="566" spans="1:20" ht="15.75" customHeight="1">
      <c r="A566" s="19" t="str">
        <f t="shared" si="0"/>
        <v/>
      </c>
      <c r="B566" s="6"/>
      <c r="C566" s="20"/>
      <c r="D566" s="5"/>
      <c r="E566" s="7" t="str">
        <f t="array" ref="E566">IFERROR(INDEX(Base_Estudiantes!$A$4:$A$505,MATCH(D566,Base_Estudiantes!$C$4:$C$505,0)),"")</f>
        <v/>
      </c>
      <c r="F566" s="7" t="str">
        <f t="array" ref="F566">IFERROR(INDEX(Base_Estudiantes!$B$4:$B$505,MATCH(D566,Base_Estudiantes!$C$4:$C$505,0)),"")</f>
        <v/>
      </c>
      <c r="G566" s="7" t="str">
        <f t="array" ref="G566">IFERROR(INDEX(Base_Estudiantes!$D$4:$D$505,MATCH(D566,Base_Estudiantes!$C$4:$C$505,0)),"")</f>
        <v/>
      </c>
      <c r="H566" s="7" t="str">
        <f t="array" ref="H566">IFERROR(INDEX(Base_Estudiantes!$F$4:$F$505,MATCH(D566,Base_Estudiantes!$C$4:$C$505,0)),"")</f>
        <v/>
      </c>
      <c r="I566" s="7" t="str">
        <f t="array" ref="I566">IFERROR(INDEX(Base_Estudiantes!$G$4:$G$505,MATCH(D566,Base_Estudiantes!$C$4:$C$505,0)),"")</f>
        <v/>
      </c>
      <c r="J566" s="7" t="str">
        <f t="array" ref="J566">IFERROR(INDEX(Base_Estudiantes!$H$4:$H$505,MATCH(D566,Base_Estudiantes!$C$4:$C$505,0)),"")</f>
        <v/>
      </c>
      <c r="K566" s="5"/>
      <c r="L566" s="5"/>
      <c r="M566" s="5"/>
      <c r="N566" s="5"/>
      <c r="O566" s="5"/>
      <c r="P566" s="5"/>
      <c r="Q566" s="5"/>
      <c r="R566" s="20"/>
      <c r="S566" s="5"/>
      <c r="T566" s="5"/>
    </row>
    <row r="567" spans="1:20" ht="15.75" customHeight="1">
      <c r="A567" s="19" t="str">
        <f t="shared" si="0"/>
        <v/>
      </c>
      <c r="B567" s="6"/>
      <c r="C567" s="20"/>
      <c r="D567" s="5"/>
      <c r="E567" s="7" t="str">
        <f t="array" ref="E567">IFERROR(INDEX(Base_Estudiantes!$A$4:$A$505,MATCH(D567,Base_Estudiantes!$C$4:$C$505,0)),"")</f>
        <v/>
      </c>
      <c r="F567" s="7" t="str">
        <f t="array" ref="F567">IFERROR(INDEX(Base_Estudiantes!$B$4:$B$505,MATCH(D567,Base_Estudiantes!$C$4:$C$505,0)),"")</f>
        <v/>
      </c>
      <c r="G567" s="7" t="str">
        <f t="array" ref="G567">IFERROR(INDEX(Base_Estudiantes!$D$4:$D$505,MATCH(D567,Base_Estudiantes!$C$4:$C$505,0)),"")</f>
        <v/>
      </c>
      <c r="H567" s="7" t="str">
        <f t="array" ref="H567">IFERROR(INDEX(Base_Estudiantes!$F$4:$F$505,MATCH(D567,Base_Estudiantes!$C$4:$C$505,0)),"")</f>
        <v/>
      </c>
      <c r="I567" s="7" t="str">
        <f t="array" ref="I567">IFERROR(INDEX(Base_Estudiantes!$G$4:$G$505,MATCH(D567,Base_Estudiantes!$C$4:$C$505,0)),"")</f>
        <v/>
      </c>
      <c r="J567" s="7" t="str">
        <f t="array" ref="J567">IFERROR(INDEX(Base_Estudiantes!$H$4:$H$505,MATCH(D567,Base_Estudiantes!$C$4:$C$505,0)),"")</f>
        <v/>
      </c>
      <c r="K567" s="5"/>
      <c r="L567" s="5"/>
      <c r="M567" s="5"/>
      <c r="N567" s="5"/>
      <c r="O567" s="5"/>
      <c r="P567" s="5"/>
      <c r="Q567" s="5"/>
      <c r="R567" s="20"/>
      <c r="S567" s="5"/>
      <c r="T567" s="5"/>
    </row>
    <row r="568" spans="1:20" ht="15.75" customHeight="1">
      <c r="A568" s="19" t="str">
        <f t="shared" si="0"/>
        <v/>
      </c>
      <c r="B568" s="6"/>
      <c r="C568" s="20"/>
      <c r="D568" s="5"/>
      <c r="E568" s="7" t="str">
        <f t="array" ref="E568">IFERROR(INDEX(Base_Estudiantes!$A$4:$A$505,MATCH(D568,Base_Estudiantes!$C$4:$C$505,0)),"")</f>
        <v/>
      </c>
      <c r="F568" s="7" t="str">
        <f t="array" ref="F568">IFERROR(INDEX(Base_Estudiantes!$B$4:$B$505,MATCH(D568,Base_Estudiantes!$C$4:$C$505,0)),"")</f>
        <v/>
      </c>
      <c r="G568" s="7" t="str">
        <f t="array" ref="G568">IFERROR(INDEX(Base_Estudiantes!$D$4:$D$505,MATCH(D568,Base_Estudiantes!$C$4:$C$505,0)),"")</f>
        <v/>
      </c>
      <c r="H568" s="7" t="str">
        <f t="array" ref="H568">IFERROR(INDEX(Base_Estudiantes!$F$4:$F$505,MATCH(D568,Base_Estudiantes!$C$4:$C$505,0)),"")</f>
        <v/>
      </c>
      <c r="I568" s="7" t="str">
        <f t="array" ref="I568">IFERROR(INDEX(Base_Estudiantes!$G$4:$G$505,MATCH(D568,Base_Estudiantes!$C$4:$C$505,0)),"")</f>
        <v/>
      </c>
      <c r="J568" s="7" t="str">
        <f t="array" ref="J568">IFERROR(INDEX(Base_Estudiantes!$H$4:$H$505,MATCH(D568,Base_Estudiantes!$C$4:$C$505,0)),"")</f>
        <v/>
      </c>
      <c r="K568" s="5"/>
      <c r="L568" s="5"/>
      <c r="M568" s="5"/>
      <c r="N568" s="5"/>
      <c r="O568" s="5"/>
      <c r="P568" s="5"/>
      <c r="Q568" s="5"/>
      <c r="R568" s="20"/>
      <c r="S568" s="5"/>
      <c r="T568" s="5"/>
    </row>
    <row r="569" spans="1:20" ht="15.75" customHeight="1">
      <c r="A569" s="19" t="str">
        <f t="shared" si="0"/>
        <v/>
      </c>
      <c r="B569" s="6"/>
      <c r="C569" s="20"/>
      <c r="D569" s="5"/>
      <c r="E569" s="7" t="str">
        <f t="array" ref="E569">IFERROR(INDEX(Base_Estudiantes!$A$4:$A$505,MATCH(D569,Base_Estudiantes!$C$4:$C$505,0)),"")</f>
        <v/>
      </c>
      <c r="F569" s="7" t="str">
        <f t="array" ref="F569">IFERROR(INDEX(Base_Estudiantes!$B$4:$B$505,MATCH(D569,Base_Estudiantes!$C$4:$C$505,0)),"")</f>
        <v/>
      </c>
      <c r="G569" s="7" t="str">
        <f t="array" ref="G569">IFERROR(INDEX(Base_Estudiantes!$D$4:$D$505,MATCH(D569,Base_Estudiantes!$C$4:$C$505,0)),"")</f>
        <v/>
      </c>
      <c r="H569" s="7" t="str">
        <f t="array" ref="H569">IFERROR(INDEX(Base_Estudiantes!$F$4:$F$505,MATCH(D569,Base_Estudiantes!$C$4:$C$505,0)),"")</f>
        <v/>
      </c>
      <c r="I569" s="7" t="str">
        <f t="array" ref="I569">IFERROR(INDEX(Base_Estudiantes!$G$4:$G$505,MATCH(D569,Base_Estudiantes!$C$4:$C$505,0)),"")</f>
        <v/>
      </c>
      <c r="J569" s="7" t="str">
        <f t="array" ref="J569">IFERROR(INDEX(Base_Estudiantes!$H$4:$H$505,MATCH(D569,Base_Estudiantes!$C$4:$C$505,0)),"")</f>
        <v/>
      </c>
      <c r="K569" s="5"/>
      <c r="L569" s="5"/>
      <c r="M569" s="5"/>
      <c r="N569" s="5"/>
      <c r="O569" s="5"/>
      <c r="P569" s="5"/>
      <c r="Q569" s="5"/>
      <c r="R569" s="20"/>
      <c r="S569" s="5"/>
      <c r="T569" s="5"/>
    </row>
    <row r="570" spans="1:20" ht="15.75" customHeight="1">
      <c r="A570" s="19" t="str">
        <f t="shared" si="0"/>
        <v/>
      </c>
      <c r="B570" s="6"/>
      <c r="C570" s="20"/>
      <c r="D570" s="5"/>
      <c r="E570" s="7" t="str">
        <f t="array" ref="E570">IFERROR(INDEX(Base_Estudiantes!$A$4:$A$505,MATCH(D570,Base_Estudiantes!$C$4:$C$505,0)),"")</f>
        <v/>
      </c>
      <c r="F570" s="7" t="str">
        <f t="array" ref="F570">IFERROR(INDEX(Base_Estudiantes!$B$4:$B$505,MATCH(D570,Base_Estudiantes!$C$4:$C$505,0)),"")</f>
        <v/>
      </c>
      <c r="G570" s="7" t="str">
        <f t="array" ref="G570">IFERROR(INDEX(Base_Estudiantes!$D$4:$D$505,MATCH(D570,Base_Estudiantes!$C$4:$C$505,0)),"")</f>
        <v/>
      </c>
      <c r="H570" s="7" t="str">
        <f t="array" ref="H570">IFERROR(INDEX(Base_Estudiantes!$F$4:$F$505,MATCH(D570,Base_Estudiantes!$C$4:$C$505,0)),"")</f>
        <v/>
      </c>
      <c r="I570" s="7" t="str">
        <f t="array" ref="I570">IFERROR(INDEX(Base_Estudiantes!$G$4:$G$505,MATCH(D570,Base_Estudiantes!$C$4:$C$505,0)),"")</f>
        <v/>
      </c>
      <c r="J570" s="7" t="str">
        <f t="array" ref="J570">IFERROR(INDEX(Base_Estudiantes!$H$4:$H$505,MATCH(D570,Base_Estudiantes!$C$4:$C$505,0)),"")</f>
        <v/>
      </c>
      <c r="K570" s="5"/>
      <c r="L570" s="5"/>
      <c r="M570" s="5"/>
      <c r="N570" s="5"/>
      <c r="O570" s="5"/>
      <c r="P570" s="5"/>
      <c r="Q570" s="5"/>
      <c r="R570" s="20"/>
      <c r="S570" s="5"/>
      <c r="T570" s="5"/>
    </row>
    <row r="571" spans="1:20" ht="15.75" customHeight="1">
      <c r="A571" s="19" t="str">
        <f t="shared" si="0"/>
        <v/>
      </c>
      <c r="B571" s="6"/>
      <c r="C571" s="20"/>
      <c r="D571" s="5"/>
      <c r="E571" s="7" t="str">
        <f t="array" ref="E571">IFERROR(INDEX(Base_Estudiantes!$A$4:$A$505,MATCH(D571,Base_Estudiantes!$C$4:$C$505,0)),"")</f>
        <v/>
      </c>
      <c r="F571" s="7" t="str">
        <f t="array" ref="F571">IFERROR(INDEX(Base_Estudiantes!$B$4:$B$505,MATCH(D571,Base_Estudiantes!$C$4:$C$505,0)),"")</f>
        <v/>
      </c>
      <c r="G571" s="7" t="str">
        <f t="array" ref="G571">IFERROR(INDEX(Base_Estudiantes!$D$4:$D$505,MATCH(D571,Base_Estudiantes!$C$4:$C$505,0)),"")</f>
        <v/>
      </c>
      <c r="H571" s="7" t="str">
        <f t="array" ref="H571">IFERROR(INDEX(Base_Estudiantes!$F$4:$F$505,MATCH(D571,Base_Estudiantes!$C$4:$C$505,0)),"")</f>
        <v/>
      </c>
      <c r="I571" s="7" t="str">
        <f t="array" ref="I571">IFERROR(INDEX(Base_Estudiantes!$G$4:$G$505,MATCH(D571,Base_Estudiantes!$C$4:$C$505,0)),"")</f>
        <v/>
      </c>
      <c r="J571" s="7" t="str">
        <f t="array" ref="J571">IFERROR(INDEX(Base_Estudiantes!$H$4:$H$505,MATCH(D571,Base_Estudiantes!$C$4:$C$505,0)),"")</f>
        <v/>
      </c>
      <c r="K571" s="5"/>
      <c r="L571" s="5"/>
      <c r="M571" s="5"/>
      <c r="N571" s="5"/>
      <c r="O571" s="5"/>
      <c r="P571" s="5"/>
      <c r="Q571" s="5"/>
      <c r="R571" s="20"/>
      <c r="S571" s="5"/>
      <c r="T571" s="5"/>
    </row>
    <row r="572" spans="1:20" ht="15.75" customHeight="1">
      <c r="A572" s="19" t="str">
        <f t="shared" si="0"/>
        <v/>
      </c>
      <c r="B572" s="6"/>
      <c r="C572" s="20"/>
      <c r="D572" s="5"/>
      <c r="E572" s="7" t="str">
        <f t="array" ref="E572">IFERROR(INDEX(Base_Estudiantes!$A$4:$A$505,MATCH(D572,Base_Estudiantes!$C$4:$C$505,0)),"")</f>
        <v/>
      </c>
      <c r="F572" s="7" t="str">
        <f t="array" ref="F572">IFERROR(INDEX(Base_Estudiantes!$B$4:$B$505,MATCH(D572,Base_Estudiantes!$C$4:$C$505,0)),"")</f>
        <v/>
      </c>
      <c r="G572" s="7" t="str">
        <f t="array" ref="G572">IFERROR(INDEX(Base_Estudiantes!$D$4:$D$505,MATCH(D572,Base_Estudiantes!$C$4:$C$505,0)),"")</f>
        <v/>
      </c>
      <c r="H572" s="7" t="str">
        <f t="array" ref="H572">IFERROR(INDEX(Base_Estudiantes!$F$4:$F$505,MATCH(D572,Base_Estudiantes!$C$4:$C$505,0)),"")</f>
        <v/>
      </c>
      <c r="I572" s="7" t="str">
        <f t="array" ref="I572">IFERROR(INDEX(Base_Estudiantes!$G$4:$G$505,MATCH(D572,Base_Estudiantes!$C$4:$C$505,0)),"")</f>
        <v/>
      </c>
      <c r="J572" s="7" t="str">
        <f t="array" ref="J572">IFERROR(INDEX(Base_Estudiantes!$H$4:$H$505,MATCH(D572,Base_Estudiantes!$C$4:$C$505,0)),"")</f>
        <v/>
      </c>
      <c r="K572" s="5"/>
      <c r="L572" s="5"/>
      <c r="M572" s="5"/>
      <c r="N572" s="5"/>
      <c r="O572" s="5"/>
      <c r="P572" s="5"/>
      <c r="Q572" s="5"/>
      <c r="R572" s="20"/>
      <c r="S572" s="5"/>
      <c r="T572" s="5"/>
    </row>
    <row r="573" spans="1:20" ht="15.75" customHeight="1">
      <c r="A573" s="19" t="str">
        <f t="shared" si="0"/>
        <v/>
      </c>
      <c r="B573" s="6"/>
      <c r="C573" s="20"/>
      <c r="D573" s="5"/>
      <c r="E573" s="7" t="str">
        <f t="array" ref="E573">IFERROR(INDEX(Base_Estudiantes!$A$4:$A$505,MATCH(D573,Base_Estudiantes!$C$4:$C$505,0)),"")</f>
        <v/>
      </c>
      <c r="F573" s="7" t="str">
        <f t="array" ref="F573">IFERROR(INDEX(Base_Estudiantes!$B$4:$B$505,MATCH(D573,Base_Estudiantes!$C$4:$C$505,0)),"")</f>
        <v/>
      </c>
      <c r="G573" s="7" t="str">
        <f t="array" ref="G573">IFERROR(INDEX(Base_Estudiantes!$D$4:$D$505,MATCH(D573,Base_Estudiantes!$C$4:$C$505,0)),"")</f>
        <v/>
      </c>
      <c r="H573" s="7" t="str">
        <f t="array" ref="H573">IFERROR(INDEX(Base_Estudiantes!$F$4:$F$505,MATCH(D573,Base_Estudiantes!$C$4:$C$505,0)),"")</f>
        <v/>
      </c>
      <c r="I573" s="7" t="str">
        <f t="array" ref="I573">IFERROR(INDEX(Base_Estudiantes!$G$4:$G$505,MATCH(D573,Base_Estudiantes!$C$4:$C$505,0)),"")</f>
        <v/>
      </c>
      <c r="J573" s="7" t="str">
        <f t="array" ref="J573">IFERROR(INDEX(Base_Estudiantes!$H$4:$H$505,MATCH(D573,Base_Estudiantes!$C$4:$C$505,0)),"")</f>
        <v/>
      </c>
      <c r="K573" s="5"/>
      <c r="L573" s="5"/>
      <c r="M573" s="5"/>
      <c r="N573" s="5"/>
      <c r="O573" s="5"/>
      <c r="P573" s="5"/>
      <c r="Q573" s="5"/>
      <c r="R573" s="20"/>
      <c r="S573" s="5"/>
      <c r="T573" s="5"/>
    </row>
    <row r="574" spans="1:20" ht="15.75" customHeight="1">
      <c r="A574" s="19" t="str">
        <f t="shared" si="0"/>
        <v/>
      </c>
      <c r="B574" s="6"/>
      <c r="C574" s="20"/>
      <c r="D574" s="5"/>
      <c r="E574" s="7" t="str">
        <f t="array" ref="E574">IFERROR(INDEX(Base_Estudiantes!$A$4:$A$505,MATCH(D574,Base_Estudiantes!$C$4:$C$505,0)),"")</f>
        <v/>
      </c>
      <c r="F574" s="7" t="str">
        <f t="array" ref="F574">IFERROR(INDEX(Base_Estudiantes!$B$4:$B$505,MATCH(D574,Base_Estudiantes!$C$4:$C$505,0)),"")</f>
        <v/>
      </c>
      <c r="G574" s="7" t="str">
        <f t="array" ref="G574">IFERROR(INDEX(Base_Estudiantes!$D$4:$D$505,MATCH(D574,Base_Estudiantes!$C$4:$C$505,0)),"")</f>
        <v/>
      </c>
      <c r="H574" s="7" t="str">
        <f t="array" ref="H574">IFERROR(INDEX(Base_Estudiantes!$F$4:$F$505,MATCH(D574,Base_Estudiantes!$C$4:$C$505,0)),"")</f>
        <v/>
      </c>
      <c r="I574" s="7" t="str">
        <f t="array" ref="I574">IFERROR(INDEX(Base_Estudiantes!$G$4:$G$505,MATCH(D574,Base_Estudiantes!$C$4:$C$505,0)),"")</f>
        <v/>
      </c>
      <c r="J574" s="7" t="str">
        <f t="array" ref="J574">IFERROR(INDEX(Base_Estudiantes!$H$4:$H$505,MATCH(D574,Base_Estudiantes!$C$4:$C$505,0)),"")</f>
        <v/>
      </c>
      <c r="K574" s="5"/>
      <c r="L574" s="5"/>
      <c r="M574" s="5"/>
      <c r="N574" s="5"/>
      <c r="O574" s="5"/>
      <c r="P574" s="5"/>
      <c r="Q574" s="5"/>
      <c r="R574" s="20"/>
      <c r="S574" s="5"/>
      <c r="T574" s="5"/>
    </row>
    <row r="575" spans="1:20" ht="15.75" customHeight="1">
      <c r="A575" s="19" t="str">
        <f t="shared" si="0"/>
        <v/>
      </c>
      <c r="B575" s="6"/>
      <c r="C575" s="20"/>
      <c r="D575" s="5"/>
      <c r="E575" s="7" t="str">
        <f t="array" ref="E575">IFERROR(INDEX(Base_Estudiantes!$A$4:$A$505,MATCH(D575,Base_Estudiantes!$C$4:$C$505,0)),"")</f>
        <v/>
      </c>
      <c r="F575" s="7" t="str">
        <f t="array" ref="F575">IFERROR(INDEX(Base_Estudiantes!$B$4:$B$505,MATCH(D575,Base_Estudiantes!$C$4:$C$505,0)),"")</f>
        <v/>
      </c>
      <c r="G575" s="7" t="str">
        <f t="array" ref="G575">IFERROR(INDEX(Base_Estudiantes!$D$4:$D$505,MATCH(D575,Base_Estudiantes!$C$4:$C$505,0)),"")</f>
        <v/>
      </c>
      <c r="H575" s="7" t="str">
        <f t="array" ref="H575">IFERROR(INDEX(Base_Estudiantes!$F$4:$F$505,MATCH(D575,Base_Estudiantes!$C$4:$C$505,0)),"")</f>
        <v/>
      </c>
      <c r="I575" s="7" t="str">
        <f t="array" ref="I575">IFERROR(INDEX(Base_Estudiantes!$G$4:$G$505,MATCH(D575,Base_Estudiantes!$C$4:$C$505,0)),"")</f>
        <v/>
      </c>
      <c r="J575" s="7" t="str">
        <f t="array" ref="J575">IFERROR(INDEX(Base_Estudiantes!$H$4:$H$505,MATCH(D575,Base_Estudiantes!$C$4:$C$505,0)),"")</f>
        <v/>
      </c>
      <c r="K575" s="5"/>
      <c r="L575" s="5"/>
      <c r="M575" s="5"/>
      <c r="N575" s="5"/>
      <c r="O575" s="5"/>
      <c r="P575" s="5"/>
      <c r="Q575" s="5"/>
      <c r="R575" s="20"/>
      <c r="S575" s="5"/>
      <c r="T575" s="5"/>
    </row>
    <row r="576" spans="1:20" ht="15.75" customHeight="1">
      <c r="A576" s="19" t="str">
        <f t="shared" si="0"/>
        <v/>
      </c>
      <c r="B576" s="6"/>
      <c r="C576" s="20"/>
      <c r="D576" s="5"/>
      <c r="E576" s="7" t="str">
        <f t="array" ref="E576">IFERROR(INDEX(Base_Estudiantes!$A$4:$A$505,MATCH(D576,Base_Estudiantes!$C$4:$C$505,0)),"")</f>
        <v/>
      </c>
      <c r="F576" s="7" t="str">
        <f t="array" ref="F576">IFERROR(INDEX(Base_Estudiantes!$B$4:$B$505,MATCH(D576,Base_Estudiantes!$C$4:$C$505,0)),"")</f>
        <v/>
      </c>
      <c r="G576" s="7" t="str">
        <f t="array" ref="G576">IFERROR(INDEX(Base_Estudiantes!$D$4:$D$505,MATCH(D576,Base_Estudiantes!$C$4:$C$505,0)),"")</f>
        <v/>
      </c>
      <c r="H576" s="7" t="str">
        <f t="array" ref="H576">IFERROR(INDEX(Base_Estudiantes!$F$4:$F$505,MATCH(D576,Base_Estudiantes!$C$4:$C$505,0)),"")</f>
        <v/>
      </c>
      <c r="I576" s="7" t="str">
        <f t="array" ref="I576">IFERROR(INDEX(Base_Estudiantes!$G$4:$G$505,MATCH(D576,Base_Estudiantes!$C$4:$C$505,0)),"")</f>
        <v/>
      </c>
      <c r="J576" s="7" t="str">
        <f t="array" ref="J576">IFERROR(INDEX(Base_Estudiantes!$H$4:$H$505,MATCH(D576,Base_Estudiantes!$C$4:$C$505,0)),"")</f>
        <v/>
      </c>
      <c r="K576" s="5"/>
      <c r="L576" s="5"/>
      <c r="M576" s="5"/>
      <c r="N576" s="5"/>
      <c r="O576" s="5"/>
      <c r="P576" s="5"/>
      <c r="Q576" s="5"/>
      <c r="R576" s="20"/>
      <c r="S576" s="5"/>
      <c r="T576" s="5"/>
    </row>
    <row r="577" spans="1:20" ht="15.75" customHeight="1">
      <c r="A577" s="19" t="str">
        <f t="shared" si="0"/>
        <v/>
      </c>
      <c r="B577" s="6"/>
      <c r="C577" s="20"/>
      <c r="D577" s="5"/>
      <c r="E577" s="7" t="str">
        <f t="array" ref="E577">IFERROR(INDEX(Base_Estudiantes!$A$4:$A$505,MATCH(D577,Base_Estudiantes!$C$4:$C$505,0)),"")</f>
        <v/>
      </c>
      <c r="F577" s="7" t="str">
        <f t="array" ref="F577">IFERROR(INDEX(Base_Estudiantes!$B$4:$B$505,MATCH(D577,Base_Estudiantes!$C$4:$C$505,0)),"")</f>
        <v/>
      </c>
      <c r="G577" s="7" t="str">
        <f t="array" ref="G577">IFERROR(INDEX(Base_Estudiantes!$D$4:$D$505,MATCH(D577,Base_Estudiantes!$C$4:$C$505,0)),"")</f>
        <v/>
      </c>
      <c r="H577" s="7" t="str">
        <f t="array" ref="H577">IFERROR(INDEX(Base_Estudiantes!$F$4:$F$505,MATCH(D577,Base_Estudiantes!$C$4:$C$505,0)),"")</f>
        <v/>
      </c>
      <c r="I577" s="7" t="str">
        <f t="array" ref="I577">IFERROR(INDEX(Base_Estudiantes!$G$4:$G$505,MATCH(D577,Base_Estudiantes!$C$4:$C$505,0)),"")</f>
        <v/>
      </c>
      <c r="J577" s="7" t="str">
        <f t="array" ref="J577">IFERROR(INDEX(Base_Estudiantes!$H$4:$H$505,MATCH(D577,Base_Estudiantes!$C$4:$C$505,0)),"")</f>
        <v/>
      </c>
      <c r="K577" s="5"/>
      <c r="L577" s="5"/>
      <c r="M577" s="5"/>
      <c r="N577" s="5"/>
      <c r="O577" s="5"/>
      <c r="P577" s="5"/>
      <c r="Q577" s="5"/>
      <c r="R577" s="20"/>
      <c r="S577" s="5"/>
      <c r="T577" s="5"/>
    </row>
    <row r="578" spans="1:20" ht="15.75" customHeight="1">
      <c r="A578" s="19" t="str">
        <f t="shared" si="0"/>
        <v/>
      </c>
      <c r="B578" s="6"/>
      <c r="C578" s="20"/>
      <c r="D578" s="5"/>
      <c r="E578" s="7" t="str">
        <f t="array" ref="E578">IFERROR(INDEX(Base_Estudiantes!$A$4:$A$505,MATCH(D578,Base_Estudiantes!$C$4:$C$505,0)),"")</f>
        <v/>
      </c>
      <c r="F578" s="7" t="str">
        <f t="array" ref="F578">IFERROR(INDEX(Base_Estudiantes!$B$4:$B$505,MATCH(D578,Base_Estudiantes!$C$4:$C$505,0)),"")</f>
        <v/>
      </c>
      <c r="G578" s="7" t="str">
        <f t="array" ref="G578">IFERROR(INDEX(Base_Estudiantes!$D$4:$D$505,MATCH(D578,Base_Estudiantes!$C$4:$C$505,0)),"")</f>
        <v/>
      </c>
      <c r="H578" s="7" t="str">
        <f t="array" ref="H578">IFERROR(INDEX(Base_Estudiantes!$F$4:$F$505,MATCH(D578,Base_Estudiantes!$C$4:$C$505,0)),"")</f>
        <v/>
      </c>
      <c r="I578" s="7" t="str">
        <f t="array" ref="I578">IFERROR(INDEX(Base_Estudiantes!$G$4:$G$505,MATCH(D578,Base_Estudiantes!$C$4:$C$505,0)),"")</f>
        <v/>
      </c>
      <c r="J578" s="7" t="str">
        <f t="array" ref="J578">IFERROR(INDEX(Base_Estudiantes!$H$4:$H$505,MATCH(D578,Base_Estudiantes!$C$4:$C$505,0)),"")</f>
        <v/>
      </c>
      <c r="K578" s="5"/>
      <c r="L578" s="5"/>
      <c r="M578" s="5"/>
      <c r="N578" s="5"/>
      <c r="O578" s="5"/>
      <c r="P578" s="5"/>
      <c r="Q578" s="5"/>
      <c r="R578" s="20"/>
      <c r="S578" s="5"/>
      <c r="T578" s="5"/>
    </row>
    <row r="579" spans="1:20" ht="15.75" customHeight="1">
      <c r="A579" s="19" t="str">
        <f t="shared" si="0"/>
        <v/>
      </c>
      <c r="B579" s="6"/>
      <c r="C579" s="20"/>
      <c r="D579" s="5"/>
      <c r="E579" s="7" t="str">
        <f t="array" ref="E579">IFERROR(INDEX(Base_Estudiantes!$A$4:$A$505,MATCH(D579,Base_Estudiantes!$C$4:$C$505,0)),"")</f>
        <v/>
      </c>
      <c r="F579" s="7" t="str">
        <f t="array" ref="F579">IFERROR(INDEX(Base_Estudiantes!$B$4:$B$505,MATCH(D579,Base_Estudiantes!$C$4:$C$505,0)),"")</f>
        <v/>
      </c>
      <c r="G579" s="7" t="str">
        <f t="array" ref="G579">IFERROR(INDEX(Base_Estudiantes!$D$4:$D$505,MATCH(D579,Base_Estudiantes!$C$4:$C$505,0)),"")</f>
        <v/>
      </c>
      <c r="H579" s="7" t="str">
        <f t="array" ref="H579">IFERROR(INDEX(Base_Estudiantes!$F$4:$F$505,MATCH(D579,Base_Estudiantes!$C$4:$C$505,0)),"")</f>
        <v/>
      </c>
      <c r="I579" s="7" t="str">
        <f t="array" ref="I579">IFERROR(INDEX(Base_Estudiantes!$G$4:$G$505,MATCH(D579,Base_Estudiantes!$C$4:$C$505,0)),"")</f>
        <v/>
      </c>
      <c r="J579" s="7" t="str">
        <f t="array" ref="J579">IFERROR(INDEX(Base_Estudiantes!$H$4:$H$505,MATCH(D579,Base_Estudiantes!$C$4:$C$505,0)),"")</f>
        <v/>
      </c>
      <c r="K579" s="5"/>
      <c r="L579" s="5"/>
      <c r="M579" s="5"/>
      <c r="N579" s="5"/>
      <c r="O579" s="5"/>
      <c r="P579" s="5"/>
      <c r="Q579" s="5"/>
      <c r="R579" s="20"/>
      <c r="S579" s="5"/>
      <c r="T579" s="5"/>
    </row>
    <row r="580" spans="1:20" ht="15.75" customHeight="1">
      <c r="A580" s="19" t="str">
        <f t="shared" si="0"/>
        <v/>
      </c>
      <c r="B580" s="6"/>
      <c r="C580" s="20"/>
      <c r="D580" s="5"/>
      <c r="E580" s="7" t="str">
        <f t="array" ref="E580">IFERROR(INDEX(Base_Estudiantes!$A$4:$A$505,MATCH(D580,Base_Estudiantes!$C$4:$C$505,0)),"")</f>
        <v/>
      </c>
      <c r="F580" s="7" t="str">
        <f t="array" ref="F580">IFERROR(INDEX(Base_Estudiantes!$B$4:$B$505,MATCH(D580,Base_Estudiantes!$C$4:$C$505,0)),"")</f>
        <v/>
      </c>
      <c r="G580" s="7" t="str">
        <f t="array" ref="G580">IFERROR(INDEX(Base_Estudiantes!$D$4:$D$505,MATCH(D580,Base_Estudiantes!$C$4:$C$505,0)),"")</f>
        <v/>
      </c>
      <c r="H580" s="7" t="str">
        <f t="array" ref="H580">IFERROR(INDEX(Base_Estudiantes!$F$4:$F$505,MATCH(D580,Base_Estudiantes!$C$4:$C$505,0)),"")</f>
        <v/>
      </c>
      <c r="I580" s="7" t="str">
        <f t="array" ref="I580">IFERROR(INDEX(Base_Estudiantes!$G$4:$G$505,MATCH(D580,Base_Estudiantes!$C$4:$C$505,0)),"")</f>
        <v/>
      </c>
      <c r="J580" s="7" t="str">
        <f t="array" ref="J580">IFERROR(INDEX(Base_Estudiantes!$H$4:$H$505,MATCH(D580,Base_Estudiantes!$C$4:$C$505,0)),"")</f>
        <v/>
      </c>
      <c r="K580" s="5"/>
      <c r="L580" s="5"/>
      <c r="M580" s="5"/>
      <c r="N580" s="5"/>
      <c r="O580" s="5"/>
      <c r="P580" s="5"/>
      <c r="Q580" s="5"/>
      <c r="R580" s="20"/>
      <c r="S580" s="5"/>
      <c r="T580" s="5"/>
    </row>
    <row r="581" spans="1:20" ht="15.75" customHeight="1">
      <c r="A581" s="19" t="str">
        <f t="shared" si="0"/>
        <v/>
      </c>
      <c r="B581" s="6"/>
      <c r="C581" s="20"/>
      <c r="D581" s="5"/>
      <c r="E581" s="7" t="str">
        <f t="array" ref="E581">IFERROR(INDEX(Base_Estudiantes!$A$4:$A$505,MATCH(D581,Base_Estudiantes!$C$4:$C$505,0)),"")</f>
        <v/>
      </c>
      <c r="F581" s="7" t="str">
        <f t="array" ref="F581">IFERROR(INDEX(Base_Estudiantes!$B$4:$B$505,MATCH(D581,Base_Estudiantes!$C$4:$C$505,0)),"")</f>
        <v/>
      </c>
      <c r="G581" s="7" t="str">
        <f t="array" ref="G581">IFERROR(INDEX(Base_Estudiantes!$D$4:$D$505,MATCH(D581,Base_Estudiantes!$C$4:$C$505,0)),"")</f>
        <v/>
      </c>
      <c r="H581" s="7" t="str">
        <f t="array" ref="H581">IFERROR(INDEX(Base_Estudiantes!$F$4:$F$505,MATCH(D581,Base_Estudiantes!$C$4:$C$505,0)),"")</f>
        <v/>
      </c>
      <c r="I581" s="7" t="str">
        <f t="array" ref="I581">IFERROR(INDEX(Base_Estudiantes!$G$4:$G$505,MATCH(D581,Base_Estudiantes!$C$4:$C$505,0)),"")</f>
        <v/>
      </c>
      <c r="J581" s="7" t="str">
        <f t="array" ref="J581">IFERROR(INDEX(Base_Estudiantes!$H$4:$H$505,MATCH(D581,Base_Estudiantes!$C$4:$C$505,0)),"")</f>
        <v/>
      </c>
      <c r="K581" s="5"/>
      <c r="L581" s="5"/>
      <c r="M581" s="5"/>
      <c r="N581" s="5"/>
      <c r="O581" s="5"/>
      <c r="P581" s="5"/>
      <c r="Q581" s="5"/>
      <c r="R581" s="20"/>
      <c r="S581" s="5"/>
      <c r="T581" s="5"/>
    </row>
    <row r="582" spans="1:20" ht="15.75" customHeight="1">
      <c r="A582" s="19" t="str">
        <f t="shared" si="0"/>
        <v/>
      </c>
      <c r="B582" s="6"/>
      <c r="C582" s="20"/>
      <c r="D582" s="5"/>
      <c r="E582" s="7" t="str">
        <f t="array" ref="E582">IFERROR(INDEX(Base_Estudiantes!$A$4:$A$505,MATCH(D582,Base_Estudiantes!$C$4:$C$505,0)),"")</f>
        <v/>
      </c>
      <c r="F582" s="7" t="str">
        <f t="array" ref="F582">IFERROR(INDEX(Base_Estudiantes!$B$4:$B$505,MATCH(D582,Base_Estudiantes!$C$4:$C$505,0)),"")</f>
        <v/>
      </c>
      <c r="G582" s="7" t="str">
        <f t="array" ref="G582">IFERROR(INDEX(Base_Estudiantes!$D$4:$D$505,MATCH(D582,Base_Estudiantes!$C$4:$C$505,0)),"")</f>
        <v/>
      </c>
      <c r="H582" s="7" t="str">
        <f t="array" ref="H582">IFERROR(INDEX(Base_Estudiantes!$F$4:$F$505,MATCH(D582,Base_Estudiantes!$C$4:$C$505,0)),"")</f>
        <v/>
      </c>
      <c r="I582" s="7" t="str">
        <f t="array" ref="I582">IFERROR(INDEX(Base_Estudiantes!$G$4:$G$505,MATCH(D582,Base_Estudiantes!$C$4:$C$505,0)),"")</f>
        <v/>
      </c>
      <c r="J582" s="7" t="str">
        <f t="array" ref="J582">IFERROR(INDEX(Base_Estudiantes!$H$4:$H$505,MATCH(D582,Base_Estudiantes!$C$4:$C$505,0)),"")</f>
        <v/>
      </c>
      <c r="K582" s="5"/>
      <c r="L582" s="5"/>
      <c r="M582" s="5"/>
      <c r="N582" s="5"/>
      <c r="O582" s="5"/>
      <c r="P582" s="5"/>
      <c r="Q582" s="5"/>
      <c r="R582" s="20"/>
      <c r="S582" s="5"/>
      <c r="T582" s="5"/>
    </row>
    <row r="583" spans="1:20" ht="15.75" customHeight="1">
      <c r="A583" s="19" t="str">
        <f t="shared" si="0"/>
        <v/>
      </c>
      <c r="B583" s="6"/>
      <c r="C583" s="20"/>
      <c r="D583" s="5"/>
      <c r="E583" s="7" t="str">
        <f t="array" ref="E583">IFERROR(INDEX(Base_Estudiantes!$A$4:$A$505,MATCH(D583,Base_Estudiantes!$C$4:$C$505,0)),"")</f>
        <v/>
      </c>
      <c r="F583" s="7" t="str">
        <f t="array" ref="F583">IFERROR(INDEX(Base_Estudiantes!$B$4:$B$505,MATCH(D583,Base_Estudiantes!$C$4:$C$505,0)),"")</f>
        <v/>
      </c>
      <c r="G583" s="7" t="str">
        <f t="array" ref="G583">IFERROR(INDEX(Base_Estudiantes!$D$4:$D$505,MATCH(D583,Base_Estudiantes!$C$4:$C$505,0)),"")</f>
        <v/>
      </c>
      <c r="H583" s="7" t="str">
        <f t="array" ref="H583">IFERROR(INDEX(Base_Estudiantes!$F$4:$F$505,MATCH(D583,Base_Estudiantes!$C$4:$C$505,0)),"")</f>
        <v/>
      </c>
      <c r="I583" s="7" t="str">
        <f t="array" ref="I583">IFERROR(INDEX(Base_Estudiantes!$G$4:$G$505,MATCH(D583,Base_Estudiantes!$C$4:$C$505,0)),"")</f>
        <v/>
      </c>
      <c r="J583" s="7" t="str">
        <f t="array" ref="J583">IFERROR(INDEX(Base_Estudiantes!$H$4:$H$505,MATCH(D583,Base_Estudiantes!$C$4:$C$505,0)),"")</f>
        <v/>
      </c>
      <c r="K583" s="5"/>
      <c r="L583" s="5"/>
      <c r="M583" s="5"/>
      <c r="N583" s="5"/>
      <c r="O583" s="5"/>
      <c r="P583" s="5"/>
      <c r="Q583" s="5"/>
      <c r="R583" s="20"/>
      <c r="S583" s="5"/>
      <c r="T583" s="5"/>
    </row>
    <row r="584" spans="1:20" ht="15.75" customHeight="1">
      <c r="A584" s="19" t="str">
        <f t="shared" si="0"/>
        <v/>
      </c>
      <c r="B584" s="6"/>
      <c r="C584" s="20"/>
      <c r="D584" s="5"/>
      <c r="E584" s="7" t="str">
        <f t="array" ref="E584">IFERROR(INDEX(Base_Estudiantes!$A$4:$A$505,MATCH(D584,Base_Estudiantes!$C$4:$C$505,0)),"")</f>
        <v/>
      </c>
      <c r="F584" s="7" t="str">
        <f t="array" ref="F584">IFERROR(INDEX(Base_Estudiantes!$B$4:$B$505,MATCH(D584,Base_Estudiantes!$C$4:$C$505,0)),"")</f>
        <v/>
      </c>
      <c r="G584" s="7" t="str">
        <f t="array" ref="G584">IFERROR(INDEX(Base_Estudiantes!$D$4:$D$505,MATCH(D584,Base_Estudiantes!$C$4:$C$505,0)),"")</f>
        <v/>
      </c>
      <c r="H584" s="7" t="str">
        <f t="array" ref="H584">IFERROR(INDEX(Base_Estudiantes!$F$4:$F$505,MATCH(D584,Base_Estudiantes!$C$4:$C$505,0)),"")</f>
        <v/>
      </c>
      <c r="I584" s="7" t="str">
        <f t="array" ref="I584">IFERROR(INDEX(Base_Estudiantes!$G$4:$G$505,MATCH(D584,Base_Estudiantes!$C$4:$C$505,0)),"")</f>
        <v/>
      </c>
      <c r="J584" s="7" t="str">
        <f t="array" ref="J584">IFERROR(INDEX(Base_Estudiantes!$H$4:$H$505,MATCH(D584,Base_Estudiantes!$C$4:$C$505,0)),"")</f>
        <v/>
      </c>
      <c r="K584" s="5"/>
      <c r="L584" s="5"/>
      <c r="M584" s="5"/>
      <c r="N584" s="5"/>
      <c r="O584" s="5"/>
      <c r="P584" s="5"/>
      <c r="Q584" s="5"/>
      <c r="R584" s="20"/>
      <c r="S584" s="5"/>
      <c r="T584" s="5"/>
    </row>
    <row r="585" spans="1:20" ht="15.75" customHeight="1">
      <c r="A585" s="19" t="str">
        <f t="shared" si="0"/>
        <v/>
      </c>
      <c r="B585" s="6"/>
      <c r="C585" s="20"/>
      <c r="D585" s="5"/>
      <c r="E585" s="7" t="str">
        <f t="array" ref="E585">IFERROR(INDEX(Base_Estudiantes!$A$4:$A$505,MATCH(D585,Base_Estudiantes!$C$4:$C$505,0)),"")</f>
        <v/>
      </c>
      <c r="F585" s="7" t="str">
        <f t="array" ref="F585">IFERROR(INDEX(Base_Estudiantes!$B$4:$B$505,MATCH(D585,Base_Estudiantes!$C$4:$C$505,0)),"")</f>
        <v/>
      </c>
      <c r="G585" s="7" t="str">
        <f t="array" ref="G585">IFERROR(INDEX(Base_Estudiantes!$D$4:$D$505,MATCH(D585,Base_Estudiantes!$C$4:$C$505,0)),"")</f>
        <v/>
      </c>
      <c r="H585" s="7" t="str">
        <f t="array" ref="H585">IFERROR(INDEX(Base_Estudiantes!$F$4:$F$505,MATCH(D585,Base_Estudiantes!$C$4:$C$505,0)),"")</f>
        <v/>
      </c>
      <c r="I585" s="7" t="str">
        <f t="array" ref="I585">IFERROR(INDEX(Base_Estudiantes!$G$4:$G$505,MATCH(D585,Base_Estudiantes!$C$4:$C$505,0)),"")</f>
        <v/>
      </c>
      <c r="J585" s="7" t="str">
        <f t="array" ref="J585">IFERROR(INDEX(Base_Estudiantes!$H$4:$H$505,MATCH(D585,Base_Estudiantes!$C$4:$C$505,0)),"")</f>
        <v/>
      </c>
      <c r="K585" s="5"/>
      <c r="L585" s="5"/>
      <c r="M585" s="5"/>
      <c r="N585" s="5"/>
      <c r="O585" s="5"/>
      <c r="P585" s="5"/>
      <c r="Q585" s="5"/>
      <c r="R585" s="20"/>
      <c r="S585" s="5"/>
      <c r="T585" s="5"/>
    </row>
    <row r="586" spans="1:20" ht="15.75" customHeight="1">
      <c r="A586" s="19" t="str">
        <f t="shared" si="0"/>
        <v/>
      </c>
      <c r="B586" s="6"/>
      <c r="C586" s="20"/>
      <c r="D586" s="5"/>
      <c r="E586" s="7" t="str">
        <f t="array" ref="E586">IFERROR(INDEX(Base_Estudiantes!$A$4:$A$505,MATCH(D586,Base_Estudiantes!$C$4:$C$505,0)),"")</f>
        <v/>
      </c>
      <c r="F586" s="7" t="str">
        <f t="array" ref="F586">IFERROR(INDEX(Base_Estudiantes!$B$4:$B$505,MATCH(D586,Base_Estudiantes!$C$4:$C$505,0)),"")</f>
        <v/>
      </c>
      <c r="G586" s="7" t="str">
        <f t="array" ref="G586">IFERROR(INDEX(Base_Estudiantes!$D$4:$D$505,MATCH(D586,Base_Estudiantes!$C$4:$C$505,0)),"")</f>
        <v/>
      </c>
      <c r="H586" s="7" t="str">
        <f t="array" ref="H586">IFERROR(INDEX(Base_Estudiantes!$F$4:$F$505,MATCH(D586,Base_Estudiantes!$C$4:$C$505,0)),"")</f>
        <v/>
      </c>
      <c r="I586" s="7" t="str">
        <f t="array" ref="I586">IFERROR(INDEX(Base_Estudiantes!$G$4:$G$505,MATCH(D586,Base_Estudiantes!$C$4:$C$505,0)),"")</f>
        <v/>
      </c>
      <c r="J586" s="7" t="str">
        <f t="array" ref="J586">IFERROR(INDEX(Base_Estudiantes!$H$4:$H$505,MATCH(D586,Base_Estudiantes!$C$4:$C$505,0)),"")</f>
        <v/>
      </c>
      <c r="K586" s="5"/>
      <c r="L586" s="5"/>
      <c r="M586" s="5"/>
      <c r="N586" s="5"/>
      <c r="O586" s="5"/>
      <c r="P586" s="5"/>
      <c r="Q586" s="5"/>
      <c r="R586" s="20"/>
      <c r="S586" s="5"/>
      <c r="T586" s="5"/>
    </row>
    <row r="587" spans="1:20" ht="15.75" customHeight="1">
      <c r="A587" s="19" t="str">
        <f t="shared" si="0"/>
        <v/>
      </c>
      <c r="B587" s="6"/>
      <c r="C587" s="20"/>
      <c r="D587" s="5"/>
      <c r="E587" s="7" t="str">
        <f t="array" ref="E587">IFERROR(INDEX(Base_Estudiantes!$A$4:$A$505,MATCH(D587,Base_Estudiantes!$C$4:$C$505,0)),"")</f>
        <v/>
      </c>
      <c r="F587" s="7" t="str">
        <f t="array" ref="F587">IFERROR(INDEX(Base_Estudiantes!$B$4:$B$505,MATCH(D587,Base_Estudiantes!$C$4:$C$505,0)),"")</f>
        <v/>
      </c>
      <c r="G587" s="7" t="str">
        <f t="array" ref="G587">IFERROR(INDEX(Base_Estudiantes!$D$4:$D$505,MATCH(D587,Base_Estudiantes!$C$4:$C$505,0)),"")</f>
        <v/>
      </c>
      <c r="H587" s="7" t="str">
        <f t="array" ref="H587">IFERROR(INDEX(Base_Estudiantes!$F$4:$F$505,MATCH(D587,Base_Estudiantes!$C$4:$C$505,0)),"")</f>
        <v/>
      </c>
      <c r="I587" s="7" t="str">
        <f t="array" ref="I587">IFERROR(INDEX(Base_Estudiantes!$G$4:$G$505,MATCH(D587,Base_Estudiantes!$C$4:$C$505,0)),"")</f>
        <v/>
      </c>
      <c r="J587" s="7" t="str">
        <f t="array" ref="J587">IFERROR(INDEX(Base_Estudiantes!$H$4:$H$505,MATCH(D587,Base_Estudiantes!$C$4:$C$505,0)),"")</f>
        <v/>
      </c>
      <c r="K587" s="5"/>
      <c r="L587" s="5"/>
      <c r="M587" s="5"/>
      <c r="N587" s="5"/>
      <c r="O587" s="5"/>
      <c r="P587" s="5"/>
      <c r="Q587" s="5"/>
      <c r="R587" s="20"/>
      <c r="S587" s="5"/>
      <c r="T587" s="5"/>
    </row>
    <row r="588" spans="1:20" ht="15.75" customHeight="1">
      <c r="A588" s="19" t="str">
        <f t="shared" si="0"/>
        <v/>
      </c>
      <c r="B588" s="6"/>
      <c r="C588" s="20"/>
      <c r="D588" s="5"/>
      <c r="E588" s="7" t="str">
        <f t="array" ref="E588">IFERROR(INDEX(Base_Estudiantes!$A$4:$A$505,MATCH(D588,Base_Estudiantes!$C$4:$C$505,0)),"")</f>
        <v/>
      </c>
      <c r="F588" s="7" t="str">
        <f t="array" ref="F588">IFERROR(INDEX(Base_Estudiantes!$B$4:$B$505,MATCH(D588,Base_Estudiantes!$C$4:$C$505,0)),"")</f>
        <v/>
      </c>
      <c r="G588" s="7" t="str">
        <f t="array" ref="G588">IFERROR(INDEX(Base_Estudiantes!$D$4:$D$505,MATCH(D588,Base_Estudiantes!$C$4:$C$505,0)),"")</f>
        <v/>
      </c>
      <c r="H588" s="7" t="str">
        <f t="array" ref="H588">IFERROR(INDEX(Base_Estudiantes!$F$4:$F$505,MATCH(D588,Base_Estudiantes!$C$4:$C$505,0)),"")</f>
        <v/>
      </c>
      <c r="I588" s="7" t="str">
        <f t="array" ref="I588">IFERROR(INDEX(Base_Estudiantes!$G$4:$G$505,MATCH(D588,Base_Estudiantes!$C$4:$C$505,0)),"")</f>
        <v/>
      </c>
      <c r="J588" s="7" t="str">
        <f t="array" ref="J588">IFERROR(INDEX(Base_Estudiantes!$H$4:$H$505,MATCH(D588,Base_Estudiantes!$C$4:$C$505,0)),"")</f>
        <v/>
      </c>
      <c r="K588" s="5"/>
      <c r="L588" s="5"/>
      <c r="M588" s="5"/>
      <c r="N588" s="5"/>
      <c r="O588" s="5"/>
      <c r="P588" s="5"/>
      <c r="Q588" s="5"/>
      <c r="R588" s="20"/>
      <c r="S588" s="5"/>
      <c r="T588" s="5"/>
    </row>
    <row r="589" spans="1:20" ht="15.75" customHeight="1">
      <c r="A589" s="19" t="str">
        <f t="shared" si="0"/>
        <v/>
      </c>
      <c r="B589" s="6"/>
      <c r="C589" s="20"/>
      <c r="D589" s="5"/>
      <c r="E589" s="7" t="str">
        <f t="array" ref="E589">IFERROR(INDEX(Base_Estudiantes!$A$4:$A$505,MATCH(D589,Base_Estudiantes!$C$4:$C$505,0)),"")</f>
        <v/>
      </c>
      <c r="F589" s="7" t="str">
        <f t="array" ref="F589">IFERROR(INDEX(Base_Estudiantes!$B$4:$B$505,MATCH(D589,Base_Estudiantes!$C$4:$C$505,0)),"")</f>
        <v/>
      </c>
      <c r="G589" s="7" t="str">
        <f t="array" ref="G589">IFERROR(INDEX(Base_Estudiantes!$D$4:$D$505,MATCH(D589,Base_Estudiantes!$C$4:$C$505,0)),"")</f>
        <v/>
      </c>
      <c r="H589" s="7" t="str">
        <f t="array" ref="H589">IFERROR(INDEX(Base_Estudiantes!$F$4:$F$505,MATCH(D589,Base_Estudiantes!$C$4:$C$505,0)),"")</f>
        <v/>
      </c>
      <c r="I589" s="7" t="str">
        <f t="array" ref="I589">IFERROR(INDEX(Base_Estudiantes!$G$4:$G$505,MATCH(D589,Base_Estudiantes!$C$4:$C$505,0)),"")</f>
        <v/>
      </c>
      <c r="J589" s="7" t="str">
        <f t="array" ref="J589">IFERROR(INDEX(Base_Estudiantes!$H$4:$H$505,MATCH(D589,Base_Estudiantes!$C$4:$C$505,0)),"")</f>
        <v/>
      </c>
      <c r="K589" s="5"/>
      <c r="L589" s="5"/>
      <c r="M589" s="5"/>
      <c r="N589" s="5"/>
      <c r="O589" s="5"/>
      <c r="P589" s="5"/>
      <c r="Q589" s="5"/>
      <c r="R589" s="20"/>
      <c r="S589" s="5"/>
      <c r="T589" s="5"/>
    </row>
    <row r="590" spans="1:20" ht="15.75" customHeight="1">
      <c r="A590" s="19" t="str">
        <f t="shared" si="0"/>
        <v/>
      </c>
      <c r="B590" s="6"/>
      <c r="C590" s="20"/>
      <c r="D590" s="5"/>
      <c r="E590" s="7" t="str">
        <f t="array" ref="E590">IFERROR(INDEX(Base_Estudiantes!$A$4:$A$505,MATCH(D590,Base_Estudiantes!$C$4:$C$505,0)),"")</f>
        <v/>
      </c>
      <c r="F590" s="7" t="str">
        <f t="array" ref="F590">IFERROR(INDEX(Base_Estudiantes!$B$4:$B$505,MATCH(D590,Base_Estudiantes!$C$4:$C$505,0)),"")</f>
        <v/>
      </c>
      <c r="G590" s="7" t="str">
        <f t="array" ref="G590">IFERROR(INDEX(Base_Estudiantes!$D$4:$D$505,MATCH(D590,Base_Estudiantes!$C$4:$C$505,0)),"")</f>
        <v/>
      </c>
      <c r="H590" s="7" t="str">
        <f t="array" ref="H590">IFERROR(INDEX(Base_Estudiantes!$F$4:$F$505,MATCH(D590,Base_Estudiantes!$C$4:$C$505,0)),"")</f>
        <v/>
      </c>
      <c r="I590" s="7" t="str">
        <f t="array" ref="I590">IFERROR(INDEX(Base_Estudiantes!$G$4:$G$505,MATCH(D590,Base_Estudiantes!$C$4:$C$505,0)),"")</f>
        <v/>
      </c>
      <c r="J590" s="7" t="str">
        <f t="array" ref="J590">IFERROR(INDEX(Base_Estudiantes!$H$4:$H$505,MATCH(D590,Base_Estudiantes!$C$4:$C$505,0)),"")</f>
        <v/>
      </c>
      <c r="K590" s="5"/>
      <c r="L590" s="5"/>
      <c r="M590" s="5"/>
      <c r="N590" s="5"/>
      <c r="O590" s="5"/>
      <c r="P590" s="5"/>
      <c r="Q590" s="5"/>
      <c r="R590" s="20"/>
      <c r="S590" s="5"/>
      <c r="T590" s="5"/>
    </row>
    <row r="591" spans="1:20" ht="15.75" customHeight="1">
      <c r="A591" s="19" t="str">
        <f t="shared" si="0"/>
        <v/>
      </c>
      <c r="B591" s="6"/>
      <c r="C591" s="20"/>
      <c r="D591" s="5"/>
      <c r="E591" s="7" t="str">
        <f t="array" ref="E591">IFERROR(INDEX(Base_Estudiantes!$A$4:$A$505,MATCH(D591,Base_Estudiantes!$C$4:$C$505,0)),"")</f>
        <v/>
      </c>
      <c r="F591" s="7" t="str">
        <f t="array" ref="F591">IFERROR(INDEX(Base_Estudiantes!$B$4:$B$505,MATCH(D591,Base_Estudiantes!$C$4:$C$505,0)),"")</f>
        <v/>
      </c>
      <c r="G591" s="7" t="str">
        <f t="array" ref="G591">IFERROR(INDEX(Base_Estudiantes!$D$4:$D$505,MATCH(D591,Base_Estudiantes!$C$4:$C$505,0)),"")</f>
        <v/>
      </c>
      <c r="H591" s="7" t="str">
        <f t="array" ref="H591">IFERROR(INDEX(Base_Estudiantes!$F$4:$F$505,MATCH(D591,Base_Estudiantes!$C$4:$C$505,0)),"")</f>
        <v/>
      </c>
      <c r="I591" s="7" t="str">
        <f t="array" ref="I591">IFERROR(INDEX(Base_Estudiantes!$G$4:$G$505,MATCH(D591,Base_Estudiantes!$C$4:$C$505,0)),"")</f>
        <v/>
      </c>
      <c r="J591" s="7" t="str">
        <f t="array" ref="J591">IFERROR(INDEX(Base_Estudiantes!$H$4:$H$505,MATCH(D591,Base_Estudiantes!$C$4:$C$505,0)),"")</f>
        <v/>
      </c>
      <c r="K591" s="5"/>
      <c r="L591" s="5"/>
      <c r="M591" s="5"/>
      <c r="N591" s="5"/>
      <c r="O591" s="5"/>
      <c r="P591" s="5"/>
      <c r="Q591" s="5"/>
      <c r="R591" s="20"/>
      <c r="S591" s="5"/>
      <c r="T591" s="5"/>
    </row>
    <row r="592" spans="1:20" ht="15.75" customHeight="1">
      <c r="A592" s="19" t="str">
        <f t="shared" si="0"/>
        <v/>
      </c>
      <c r="B592" s="6"/>
      <c r="C592" s="20"/>
      <c r="D592" s="5"/>
      <c r="E592" s="7" t="str">
        <f t="array" ref="E592">IFERROR(INDEX(Base_Estudiantes!$A$4:$A$505,MATCH(D592,Base_Estudiantes!$C$4:$C$505,0)),"")</f>
        <v/>
      </c>
      <c r="F592" s="7" t="str">
        <f t="array" ref="F592">IFERROR(INDEX(Base_Estudiantes!$B$4:$B$505,MATCH(D592,Base_Estudiantes!$C$4:$C$505,0)),"")</f>
        <v/>
      </c>
      <c r="G592" s="7" t="str">
        <f t="array" ref="G592">IFERROR(INDEX(Base_Estudiantes!$D$4:$D$505,MATCH(D592,Base_Estudiantes!$C$4:$C$505,0)),"")</f>
        <v/>
      </c>
      <c r="H592" s="7" t="str">
        <f t="array" ref="H592">IFERROR(INDEX(Base_Estudiantes!$F$4:$F$505,MATCH(D592,Base_Estudiantes!$C$4:$C$505,0)),"")</f>
        <v/>
      </c>
      <c r="I592" s="7" t="str">
        <f t="array" ref="I592">IFERROR(INDEX(Base_Estudiantes!$G$4:$G$505,MATCH(D592,Base_Estudiantes!$C$4:$C$505,0)),"")</f>
        <v/>
      </c>
      <c r="J592" s="7" t="str">
        <f t="array" ref="J592">IFERROR(INDEX(Base_Estudiantes!$H$4:$H$505,MATCH(D592,Base_Estudiantes!$C$4:$C$505,0)),"")</f>
        <v/>
      </c>
      <c r="K592" s="5"/>
      <c r="L592" s="5"/>
      <c r="M592" s="5"/>
      <c r="N592" s="5"/>
      <c r="O592" s="5"/>
      <c r="P592" s="5"/>
      <c r="Q592" s="5"/>
      <c r="R592" s="20"/>
      <c r="S592" s="5"/>
      <c r="T592" s="5"/>
    </row>
    <row r="593" spans="1:20" ht="15.75" customHeight="1">
      <c r="A593" s="19" t="str">
        <f t="shared" si="0"/>
        <v/>
      </c>
      <c r="B593" s="6"/>
      <c r="C593" s="20"/>
      <c r="D593" s="5"/>
      <c r="E593" s="7" t="str">
        <f t="array" ref="E593">IFERROR(INDEX(Base_Estudiantes!$A$4:$A$505,MATCH(D593,Base_Estudiantes!$C$4:$C$505,0)),"")</f>
        <v/>
      </c>
      <c r="F593" s="7" t="str">
        <f t="array" ref="F593">IFERROR(INDEX(Base_Estudiantes!$B$4:$B$505,MATCH(D593,Base_Estudiantes!$C$4:$C$505,0)),"")</f>
        <v/>
      </c>
      <c r="G593" s="7" t="str">
        <f t="array" ref="G593">IFERROR(INDEX(Base_Estudiantes!$D$4:$D$505,MATCH(D593,Base_Estudiantes!$C$4:$C$505,0)),"")</f>
        <v/>
      </c>
      <c r="H593" s="7" t="str">
        <f t="array" ref="H593">IFERROR(INDEX(Base_Estudiantes!$F$4:$F$505,MATCH(D593,Base_Estudiantes!$C$4:$C$505,0)),"")</f>
        <v/>
      </c>
      <c r="I593" s="7" t="str">
        <f t="array" ref="I593">IFERROR(INDEX(Base_Estudiantes!$G$4:$G$505,MATCH(D593,Base_Estudiantes!$C$4:$C$505,0)),"")</f>
        <v/>
      </c>
      <c r="J593" s="7" t="str">
        <f t="array" ref="J593">IFERROR(INDEX(Base_Estudiantes!$H$4:$H$505,MATCH(D593,Base_Estudiantes!$C$4:$C$505,0)),"")</f>
        <v/>
      </c>
      <c r="K593" s="5"/>
      <c r="L593" s="5"/>
      <c r="M593" s="5"/>
      <c r="N593" s="5"/>
      <c r="O593" s="5"/>
      <c r="P593" s="5"/>
      <c r="Q593" s="5"/>
      <c r="R593" s="20"/>
      <c r="S593" s="5"/>
      <c r="T593" s="5"/>
    </row>
    <row r="594" spans="1:20" ht="15.75" customHeight="1">
      <c r="A594" s="19" t="str">
        <f t="shared" si="0"/>
        <v/>
      </c>
      <c r="B594" s="6"/>
      <c r="C594" s="20"/>
      <c r="D594" s="5"/>
      <c r="E594" s="7" t="str">
        <f t="array" ref="E594">IFERROR(INDEX(Base_Estudiantes!$A$4:$A$505,MATCH(D594,Base_Estudiantes!$C$4:$C$505,0)),"")</f>
        <v/>
      </c>
      <c r="F594" s="7" t="str">
        <f t="array" ref="F594">IFERROR(INDEX(Base_Estudiantes!$B$4:$B$505,MATCH(D594,Base_Estudiantes!$C$4:$C$505,0)),"")</f>
        <v/>
      </c>
      <c r="G594" s="7" t="str">
        <f t="array" ref="G594">IFERROR(INDEX(Base_Estudiantes!$D$4:$D$505,MATCH(D594,Base_Estudiantes!$C$4:$C$505,0)),"")</f>
        <v/>
      </c>
      <c r="H594" s="7" t="str">
        <f t="array" ref="H594">IFERROR(INDEX(Base_Estudiantes!$F$4:$F$505,MATCH(D594,Base_Estudiantes!$C$4:$C$505,0)),"")</f>
        <v/>
      </c>
      <c r="I594" s="7" t="str">
        <f t="array" ref="I594">IFERROR(INDEX(Base_Estudiantes!$G$4:$G$505,MATCH(D594,Base_Estudiantes!$C$4:$C$505,0)),"")</f>
        <v/>
      </c>
      <c r="J594" s="7" t="str">
        <f t="array" ref="J594">IFERROR(INDEX(Base_Estudiantes!$H$4:$H$505,MATCH(D594,Base_Estudiantes!$C$4:$C$505,0)),"")</f>
        <v/>
      </c>
      <c r="K594" s="5"/>
      <c r="L594" s="5"/>
      <c r="M594" s="5"/>
      <c r="N594" s="5"/>
      <c r="O594" s="5"/>
      <c r="P594" s="5"/>
      <c r="Q594" s="5"/>
      <c r="R594" s="20"/>
      <c r="S594" s="5"/>
      <c r="T594" s="5"/>
    </row>
    <row r="595" spans="1:20" ht="15.75" customHeight="1">
      <c r="A595" s="19" t="str">
        <f t="shared" si="0"/>
        <v/>
      </c>
      <c r="B595" s="6"/>
      <c r="C595" s="20"/>
      <c r="D595" s="5"/>
      <c r="E595" s="7" t="str">
        <f t="array" ref="E595">IFERROR(INDEX(Base_Estudiantes!$A$4:$A$505,MATCH(D595,Base_Estudiantes!$C$4:$C$505,0)),"")</f>
        <v/>
      </c>
      <c r="F595" s="7" t="str">
        <f t="array" ref="F595">IFERROR(INDEX(Base_Estudiantes!$B$4:$B$505,MATCH(D595,Base_Estudiantes!$C$4:$C$505,0)),"")</f>
        <v/>
      </c>
      <c r="G595" s="7" t="str">
        <f t="array" ref="G595">IFERROR(INDEX(Base_Estudiantes!$D$4:$D$505,MATCH(D595,Base_Estudiantes!$C$4:$C$505,0)),"")</f>
        <v/>
      </c>
      <c r="H595" s="7" t="str">
        <f t="array" ref="H595">IFERROR(INDEX(Base_Estudiantes!$F$4:$F$505,MATCH(D595,Base_Estudiantes!$C$4:$C$505,0)),"")</f>
        <v/>
      </c>
      <c r="I595" s="7" t="str">
        <f t="array" ref="I595">IFERROR(INDEX(Base_Estudiantes!$G$4:$G$505,MATCH(D595,Base_Estudiantes!$C$4:$C$505,0)),"")</f>
        <v/>
      </c>
      <c r="J595" s="7" t="str">
        <f t="array" ref="J595">IFERROR(INDEX(Base_Estudiantes!$H$4:$H$505,MATCH(D595,Base_Estudiantes!$C$4:$C$505,0)),"")</f>
        <v/>
      </c>
      <c r="K595" s="5"/>
      <c r="L595" s="5"/>
      <c r="M595" s="5"/>
      <c r="N595" s="5"/>
      <c r="O595" s="5"/>
      <c r="P595" s="5"/>
      <c r="Q595" s="5"/>
      <c r="R595" s="20"/>
      <c r="S595" s="5"/>
      <c r="T595" s="5"/>
    </row>
    <row r="596" spans="1:20" ht="15.75" customHeight="1">
      <c r="A596" s="19" t="str">
        <f t="shared" si="0"/>
        <v/>
      </c>
      <c r="B596" s="6"/>
      <c r="C596" s="20"/>
      <c r="D596" s="5"/>
      <c r="E596" s="7" t="str">
        <f t="array" ref="E596">IFERROR(INDEX(Base_Estudiantes!$A$4:$A$505,MATCH(D596,Base_Estudiantes!$C$4:$C$505,0)),"")</f>
        <v/>
      </c>
      <c r="F596" s="7" t="str">
        <f t="array" ref="F596">IFERROR(INDEX(Base_Estudiantes!$B$4:$B$505,MATCH(D596,Base_Estudiantes!$C$4:$C$505,0)),"")</f>
        <v/>
      </c>
      <c r="G596" s="7" t="str">
        <f t="array" ref="G596">IFERROR(INDEX(Base_Estudiantes!$D$4:$D$505,MATCH(D596,Base_Estudiantes!$C$4:$C$505,0)),"")</f>
        <v/>
      </c>
      <c r="H596" s="7" t="str">
        <f t="array" ref="H596">IFERROR(INDEX(Base_Estudiantes!$F$4:$F$505,MATCH(D596,Base_Estudiantes!$C$4:$C$505,0)),"")</f>
        <v/>
      </c>
      <c r="I596" s="7" t="str">
        <f t="array" ref="I596">IFERROR(INDEX(Base_Estudiantes!$G$4:$G$505,MATCH(D596,Base_Estudiantes!$C$4:$C$505,0)),"")</f>
        <v/>
      </c>
      <c r="J596" s="7" t="str">
        <f t="array" ref="J596">IFERROR(INDEX(Base_Estudiantes!$H$4:$H$505,MATCH(D596,Base_Estudiantes!$C$4:$C$505,0)),"")</f>
        <v/>
      </c>
      <c r="K596" s="5"/>
      <c r="L596" s="5"/>
      <c r="M596" s="5"/>
      <c r="N596" s="5"/>
      <c r="O596" s="5"/>
      <c r="P596" s="5"/>
      <c r="Q596" s="5"/>
      <c r="R596" s="20"/>
      <c r="S596" s="5"/>
      <c r="T596" s="5"/>
    </row>
    <row r="597" spans="1:20" ht="15.75" customHeight="1">
      <c r="A597" s="19" t="str">
        <f t="shared" si="0"/>
        <v/>
      </c>
      <c r="B597" s="6"/>
      <c r="C597" s="20"/>
      <c r="D597" s="5"/>
      <c r="E597" s="7" t="str">
        <f t="array" ref="E597">IFERROR(INDEX(Base_Estudiantes!$A$4:$A$505,MATCH(D597,Base_Estudiantes!$C$4:$C$505,0)),"")</f>
        <v/>
      </c>
      <c r="F597" s="7" t="str">
        <f t="array" ref="F597">IFERROR(INDEX(Base_Estudiantes!$B$4:$B$505,MATCH(D597,Base_Estudiantes!$C$4:$C$505,0)),"")</f>
        <v/>
      </c>
      <c r="G597" s="7" t="str">
        <f t="array" ref="G597">IFERROR(INDEX(Base_Estudiantes!$D$4:$D$505,MATCH(D597,Base_Estudiantes!$C$4:$C$505,0)),"")</f>
        <v/>
      </c>
      <c r="H597" s="7" t="str">
        <f t="array" ref="H597">IFERROR(INDEX(Base_Estudiantes!$F$4:$F$505,MATCH(D597,Base_Estudiantes!$C$4:$C$505,0)),"")</f>
        <v/>
      </c>
      <c r="I597" s="7" t="str">
        <f t="array" ref="I597">IFERROR(INDEX(Base_Estudiantes!$G$4:$G$505,MATCH(D597,Base_Estudiantes!$C$4:$C$505,0)),"")</f>
        <v/>
      </c>
      <c r="J597" s="7" t="str">
        <f t="array" ref="J597">IFERROR(INDEX(Base_Estudiantes!$H$4:$H$505,MATCH(D597,Base_Estudiantes!$C$4:$C$505,0)),"")</f>
        <v/>
      </c>
      <c r="K597" s="5"/>
      <c r="L597" s="5"/>
      <c r="M597" s="5"/>
      <c r="N597" s="5"/>
      <c r="O597" s="5"/>
      <c r="P597" s="5"/>
      <c r="Q597" s="5"/>
      <c r="R597" s="20"/>
      <c r="S597" s="5"/>
      <c r="T597" s="5"/>
    </row>
    <row r="598" spans="1:20" ht="15.75" customHeight="1">
      <c r="A598" s="19" t="str">
        <f t="shared" si="0"/>
        <v/>
      </c>
      <c r="B598" s="6"/>
      <c r="C598" s="20"/>
      <c r="D598" s="5"/>
      <c r="E598" s="7" t="str">
        <f t="array" ref="E598">IFERROR(INDEX(Base_Estudiantes!$A$4:$A$505,MATCH(D598,Base_Estudiantes!$C$4:$C$505,0)),"")</f>
        <v/>
      </c>
      <c r="F598" s="7" t="str">
        <f t="array" ref="F598">IFERROR(INDEX(Base_Estudiantes!$B$4:$B$505,MATCH(D598,Base_Estudiantes!$C$4:$C$505,0)),"")</f>
        <v/>
      </c>
      <c r="G598" s="7" t="str">
        <f t="array" ref="G598">IFERROR(INDEX(Base_Estudiantes!$D$4:$D$505,MATCH(D598,Base_Estudiantes!$C$4:$C$505,0)),"")</f>
        <v/>
      </c>
      <c r="H598" s="7" t="str">
        <f t="array" ref="H598">IFERROR(INDEX(Base_Estudiantes!$F$4:$F$505,MATCH(D598,Base_Estudiantes!$C$4:$C$505,0)),"")</f>
        <v/>
      </c>
      <c r="I598" s="7" t="str">
        <f t="array" ref="I598">IFERROR(INDEX(Base_Estudiantes!$G$4:$G$505,MATCH(D598,Base_Estudiantes!$C$4:$C$505,0)),"")</f>
        <v/>
      </c>
      <c r="J598" s="7" t="str">
        <f t="array" ref="J598">IFERROR(INDEX(Base_Estudiantes!$H$4:$H$505,MATCH(D598,Base_Estudiantes!$C$4:$C$505,0)),"")</f>
        <v/>
      </c>
      <c r="K598" s="5"/>
      <c r="L598" s="5"/>
      <c r="M598" s="5"/>
      <c r="N598" s="5"/>
      <c r="O598" s="5"/>
      <c r="P598" s="5"/>
      <c r="Q598" s="5"/>
      <c r="R598" s="20"/>
      <c r="S598" s="5"/>
      <c r="T598" s="5"/>
    </row>
    <row r="599" spans="1:20" ht="15.75" customHeight="1">
      <c r="A599" s="19" t="str">
        <f t="shared" si="0"/>
        <v/>
      </c>
      <c r="B599" s="6"/>
      <c r="C599" s="20"/>
      <c r="D599" s="5"/>
      <c r="E599" s="7" t="str">
        <f t="array" ref="E599">IFERROR(INDEX(Base_Estudiantes!$A$4:$A$505,MATCH(D599,Base_Estudiantes!$C$4:$C$505,0)),"")</f>
        <v/>
      </c>
      <c r="F599" s="7" t="str">
        <f t="array" ref="F599">IFERROR(INDEX(Base_Estudiantes!$B$4:$B$505,MATCH(D599,Base_Estudiantes!$C$4:$C$505,0)),"")</f>
        <v/>
      </c>
      <c r="G599" s="7" t="str">
        <f t="array" ref="G599">IFERROR(INDEX(Base_Estudiantes!$D$4:$D$505,MATCH(D599,Base_Estudiantes!$C$4:$C$505,0)),"")</f>
        <v/>
      </c>
      <c r="H599" s="7" t="str">
        <f t="array" ref="H599">IFERROR(INDEX(Base_Estudiantes!$F$4:$F$505,MATCH(D599,Base_Estudiantes!$C$4:$C$505,0)),"")</f>
        <v/>
      </c>
      <c r="I599" s="7" t="str">
        <f t="array" ref="I599">IFERROR(INDEX(Base_Estudiantes!$G$4:$G$505,MATCH(D599,Base_Estudiantes!$C$4:$C$505,0)),"")</f>
        <v/>
      </c>
      <c r="J599" s="7" t="str">
        <f t="array" ref="J599">IFERROR(INDEX(Base_Estudiantes!$H$4:$H$505,MATCH(D599,Base_Estudiantes!$C$4:$C$505,0)),"")</f>
        <v/>
      </c>
      <c r="K599" s="5"/>
      <c r="L599" s="5"/>
      <c r="M599" s="5"/>
      <c r="N599" s="5"/>
      <c r="O599" s="5"/>
      <c r="P599" s="5"/>
      <c r="Q599" s="5"/>
      <c r="R599" s="20"/>
      <c r="S599" s="5"/>
      <c r="T599" s="5"/>
    </row>
    <row r="600" spans="1:20" ht="15.75" customHeight="1">
      <c r="A600" s="19" t="str">
        <f t="shared" si="0"/>
        <v/>
      </c>
      <c r="B600" s="6"/>
      <c r="C600" s="20"/>
      <c r="D600" s="5"/>
      <c r="E600" s="7" t="str">
        <f t="array" ref="E600">IFERROR(INDEX(Base_Estudiantes!$A$4:$A$505,MATCH(D600,Base_Estudiantes!$C$4:$C$505,0)),"")</f>
        <v/>
      </c>
      <c r="F600" s="7" t="str">
        <f t="array" ref="F600">IFERROR(INDEX(Base_Estudiantes!$B$4:$B$505,MATCH(D600,Base_Estudiantes!$C$4:$C$505,0)),"")</f>
        <v/>
      </c>
      <c r="G600" s="7" t="str">
        <f t="array" ref="G600">IFERROR(INDEX(Base_Estudiantes!$D$4:$D$505,MATCH(D600,Base_Estudiantes!$C$4:$C$505,0)),"")</f>
        <v/>
      </c>
      <c r="H600" s="7" t="str">
        <f t="array" ref="H600">IFERROR(INDEX(Base_Estudiantes!$F$4:$F$505,MATCH(D600,Base_Estudiantes!$C$4:$C$505,0)),"")</f>
        <v/>
      </c>
      <c r="I600" s="7" t="str">
        <f t="array" ref="I600">IFERROR(INDEX(Base_Estudiantes!$G$4:$G$505,MATCH(D600,Base_Estudiantes!$C$4:$C$505,0)),"")</f>
        <v/>
      </c>
      <c r="J600" s="7" t="str">
        <f t="array" ref="J600">IFERROR(INDEX(Base_Estudiantes!$H$4:$H$505,MATCH(D600,Base_Estudiantes!$C$4:$C$505,0)),"")</f>
        <v/>
      </c>
      <c r="K600" s="5"/>
      <c r="L600" s="5"/>
      <c r="M600" s="5"/>
      <c r="N600" s="5"/>
      <c r="O600" s="5"/>
      <c r="P600" s="5"/>
      <c r="Q600" s="5"/>
      <c r="R600" s="20"/>
      <c r="S600" s="5"/>
      <c r="T600" s="5"/>
    </row>
    <row r="601" spans="1:20" ht="15.75" customHeight="1">
      <c r="A601" s="19" t="str">
        <f t="shared" si="0"/>
        <v/>
      </c>
      <c r="B601" s="6"/>
      <c r="C601" s="20"/>
      <c r="D601" s="5"/>
      <c r="E601" s="7" t="str">
        <f t="array" ref="E601">IFERROR(INDEX(Base_Estudiantes!$A$4:$A$505,MATCH(D601,Base_Estudiantes!$C$4:$C$505,0)),"")</f>
        <v/>
      </c>
      <c r="F601" s="7" t="str">
        <f t="array" ref="F601">IFERROR(INDEX(Base_Estudiantes!$B$4:$B$505,MATCH(D601,Base_Estudiantes!$C$4:$C$505,0)),"")</f>
        <v/>
      </c>
      <c r="G601" s="7" t="str">
        <f t="array" ref="G601">IFERROR(INDEX(Base_Estudiantes!$D$4:$D$505,MATCH(D601,Base_Estudiantes!$C$4:$C$505,0)),"")</f>
        <v/>
      </c>
      <c r="H601" s="7" t="str">
        <f t="array" ref="H601">IFERROR(INDEX(Base_Estudiantes!$F$4:$F$505,MATCH(D601,Base_Estudiantes!$C$4:$C$505,0)),"")</f>
        <v/>
      </c>
      <c r="I601" s="7" t="str">
        <f t="array" ref="I601">IFERROR(INDEX(Base_Estudiantes!$G$4:$G$505,MATCH(D601,Base_Estudiantes!$C$4:$C$505,0)),"")</f>
        <v/>
      </c>
      <c r="J601" s="7" t="str">
        <f t="array" ref="J601">IFERROR(INDEX(Base_Estudiantes!$H$4:$H$505,MATCH(D601,Base_Estudiantes!$C$4:$C$505,0)),"")</f>
        <v/>
      </c>
      <c r="K601" s="5"/>
      <c r="L601" s="5"/>
      <c r="M601" s="5"/>
      <c r="N601" s="5"/>
      <c r="O601" s="5"/>
      <c r="P601" s="5"/>
      <c r="Q601" s="5"/>
      <c r="R601" s="20"/>
      <c r="S601" s="5"/>
      <c r="T601" s="5"/>
    </row>
    <row r="602" spans="1:20" ht="15.75" customHeight="1">
      <c r="A602" s="19" t="str">
        <f t="shared" si="0"/>
        <v/>
      </c>
      <c r="B602" s="6"/>
      <c r="C602" s="20"/>
      <c r="D602" s="5"/>
      <c r="E602" s="7" t="str">
        <f t="array" ref="E602">IFERROR(INDEX(Base_Estudiantes!$A$4:$A$505,MATCH(D602,Base_Estudiantes!$C$4:$C$505,0)),"")</f>
        <v/>
      </c>
      <c r="F602" s="7" t="str">
        <f t="array" ref="F602">IFERROR(INDEX(Base_Estudiantes!$B$4:$B$505,MATCH(D602,Base_Estudiantes!$C$4:$C$505,0)),"")</f>
        <v/>
      </c>
      <c r="G602" s="7" t="str">
        <f t="array" ref="G602">IFERROR(INDEX(Base_Estudiantes!$D$4:$D$505,MATCH(D602,Base_Estudiantes!$C$4:$C$505,0)),"")</f>
        <v/>
      </c>
      <c r="H602" s="7" t="str">
        <f t="array" ref="H602">IFERROR(INDEX(Base_Estudiantes!$F$4:$F$505,MATCH(D602,Base_Estudiantes!$C$4:$C$505,0)),"")</f>
        <v/>
      </c>
      <c r="I602" s="7" t="str">
        <f t="array" ref="I602">IFERROR(INDEX(Base_Estudiantes!$G$4:$G$505,MATCH(D602,Base_Estudiantes!$C$4:$C$505,0)),"")</f>
        <v/>
      </c>
      <c r="J602" s="7" t="str">
        <f t="array" ref="J602">IFERROR(INDEX(Base_Estudiantes!$H$4:$H$505,MATCH(D602,Base_Estudiantes!$C$4:$C$505,0)),"")</f>
        <v/>
      </c>
      <c r="K602" s="5"/>
      <c r="L602" s="5"/>
      <c r="M602" s="5"/>
      <c r="N602" s="5"/>
      <c r="O602" s="5"/>
      <c r="P602" s="5"/>
      <c r="Q602" s="5"/>
      <c r="R602" s="20"/>
      <c r="S602" s="5"/>
      <c r="T602" s="5"/>
    </row>
    <row r="603" spans="1:20" ht="15.75" customHeight="1">
      <c r="A603" s="19" t="str">
        <f t="shared" si="0"/>
        <v/>
      </c>
      <c r="B603" s="6"/>
      <c r="C603" s="20"/>
      <c r="D603" s="5"/>
      <c r="E603" s="7" t="str">
        <f t="array" ref="E603">IFERROR(INDEX(Base_Estudiantes!$A$4:$A$505,MATCH(D603,Base_Estudiantes!$C$4:$C$505,0)),"")</f>
        <v/>
      </c>
      <c r="F603" s="7" t="str">
        <f t="array" ref="F603">IFERROR(INDEX(Base_Estudiantes!$B$4:$B$505,MATCH(D603,Base_Estudiantes!$C$4:$C$505,0)),"")</f>
        <v/>
      </c>
      <c r="G603" s="7" t="str">
        <f t="array" ref="G603">IFERROR(INDEX(Base_Estudiantes!$D$4:$D$505,MATCH(D603,Base_Estudiantes!$C$4:$C$505,0)),"")</f>
        <v/>
      </c>
      <c r="H603" s="7" t="str">
        <f t="array" ref="H603">IFERROR(INDEX(Base_Estudiantes!$F$4:$F$505,MATCH(D603,Base_Estudiantes!$C$4:$C$505,0)),"")</f>
        <v/>
      </c>
      <c r="I603" s="7" t="str">
        <f t="array" ref="I603">IFERROR(INDEX(Base_Estudiantes!$G$4:$G$505,MATCH(D603,Base_Estudiantes!$C$4:$C$505,0)),"")</f>
        <v/>
      </c>
      <c r="J603" s="7" t="str">
        <f t="array" ref="J603">IFERROR(INDEX(Base_Estudiantes!$H$4:$H$505,MATCH(D603,Base_Estudiantes!$C$4:$C$505,0)),"")</f>
        <v/>
      </c>
      <c r="K603" s="5"/>
      <c r="L603" s="5"/>
      <c r="M603" s="5"/>
      <c r="N603" s="5"/>
      <c r="O603" s="5"/>
      <c r="P603" s="5"/>
      <c r="Q603" s="5"/>
      <c r="R603" s="20"/>
      <c r="S603" s="5"/>
      <c r="T603" s="5"/>
    </row>
    <row r="604" spans="1:20" ht="15.75" customHeight="1">
      <c r="A604" s="19" t="str">
        <f t="shared" si="0"/>
        <v/>
      </c>
      <c r="B604" s="6"/>
      <c r="C604" s="20"/>
      <c r="D604" s="5"/>
      <c r="E604" s="7" t="str">
        <f t="array" ref="E604">IFERROR(INDEX(Base_Estudiantes!$A$4:$A$505,MATCH(D604,Base_Estudiantes!$C$4:$C$505,0)),"")</f>
        <v/>
      </c>
      <c r="F604" s="7" t="str">
        <f t="array" ref="F604">IFERROR(INDEX(Base_Estudiantes!$B$4:$B$505,MATCH(D604,Base_Estudiantes!$C$4:$C$505,0)),"")</f>
        <v/>
      </c>
      <c r="G604" s="7" t="str">
        <f t="array" ref="G604">IFERROR(INDEX(Base_Estudiantes!$D$4:$D$505,MATCH(D604,Base_Estudiantes!$C$4:$C$505,0)),"")</f>
        <v/>
      </c>
      <c r="H604" s="7" t="str">
        <f t="array" ref="H604">IFERROR(INDEX(Base_Estudiantes!$F$4:$F$505,MATCH(D604,Base_Estudiantes!$C$4:$C$505,0)),"")</f>
        <v/>
      </c>
      <c r="I604" s="7" t="str">
        <f t="array" ref="I604">IFERROR(INDEX(Base_Estudiantes!$G$4:$G$505,MATCH(D604,Base_Estudiantes!$C$4:$C$505,0)),"")</f>
        <v/>
      </c>
      <c r="J604" s="7" t="str">
        <f t="array" ref="J604">IFERROR(INDEX(Base_Estudiantes!$H$4:$H$505,MATCH(D604,Base_Estudiantes!$C$4:$C$505,0)),"")</f>
        <v/>
      </c>
      <c r="K604" s="5"/>
      <c r="L604" s="5"/>
      <c r="M604" s="5"/>
      <c r="N604" s="5"/>
      <c r="O604" s="5"/>
      <c r="P604" s="5"/>
      <c r="Q604" s="5"/>
      <c r="R604" s="20"/>
      <c r="S604" s="5"/>
      <c r="T604" s="5"/>
    </row>
    <row r="605" spans="1:20" ht="15.75" customHeight="1">
      <c r="A605" s="19" t="str">
        <f t="shared" si="0"/>
        <v/>
      </c>
      <c r="B605" s="6"/>
      <c r="C605" s="20"/>
      <c r="D605" s="5"/>
      <c r="E605" s="7" t="str">
        <f t="array" ref="E605">IFERROR(INDEX(Base_Estudiantes!$A$4:$A$505,MATCH(D605,Base_Estudiantes!$C$4:$C$505,0)),"")</f>
        <v/>
      </c>
      <c r="F605" s="7" t="str">
        <f t="array" ref="F605">IFERROR(INDEX(Base_Estudiantes!$B$4:$B$505,MATCH(D605,Base_Estudiantes!$C$4:$C$505,0)),"")</f>
        <v/>
      </c>
      <c r="G605" s="7" t="str">
        <f t="array" ref="G605">IFERROR(INDEX(Base_Estudiantes!$D$4:$D$505,MATCH(D605,Base_Estudiantes!$C$4:$C$505,0)),"")</f>
        <v/>
      </c>
      <c r="H605" s="7" t="str">
        <f t="array" ref="H605">IFERROR(INDEX(Base_Estudiantes!$F$4:$F$505,MATCH(D605,Base_Estudiantes!$C$4:$C$505,0)),"")</f>
        <v/>
      </c>
      <c r="I605" s="7" t="str">
        <f t="array" ref="I605">IFERROR(INDEX(Base_Estudiantes!$G$4:$G$505,MATCH(D605,Base_Estudiantes!$C$4:$C$505,0)),"")</f>
        <v/>
      </c>
      <c r="J605" s="7" t="str">
        <f t="array" ref="J605">IFERROR(INDEX(Base_Estudiantes!$H$4:$H$505,MATCH(D605,Base_Estudiantes!$C$4:$C$505,0)),"")</f>
        <v/>
      </c>
      <c r="K605" s="5"/>
      <c r="L605" s="5"/>
      <c r="M605" s="5"/>
      <c r="N605" s="5"/>
      <c r="O605" s="5"/>
      <c r="P605" s="5"/>
      <c r="Q605" s="5"/>
      <c r="R605" s="20"/>
      <c r="S605" s="5"/>
      <c r="T605" s="5"/>
    </row>
    <row r="606" spans="1:20" ht="15.75" customHeight="1"/>
    <row r="607" spans="1:20" ht="15.75" customHeight="1"/>
    <row r="608" spans="1:20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3:T605"/>
  <dataValidations count="4">
    <dataValidation type="list" allowBlank="1" sqref="O4:O605 Q4:Q605">
      <formula1>ListaSiNo</formula1>
    </dataValidation>
    <dataValidation type="list" allowBlank="1" sqref="D4:D605">
      <formula1>ListaRUTs</formula1>
    </dataValidation>
    <dataValidation type="list" allowBlank="1" sqref="K4:K605">
      <formula1>ListaLugares</formula1>
    </dataValidation>
    <dataValidation type="list" allowBlank="1" sqref="M4:M605">
      <formula1>ListaLesiones</formula1>
    </dataValidation>
  </dataValidations>
  <pageMargins left="0.75" right="0.75" top="1" bottom="1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000"/>
  <sheetViews>
    <sheetView showGridLines="0" workbookViewId="0"/>
  </sheetViews>
  <sheetFormatPr baseColWidth="10" defaultColWidth="14.42578125" defaultRowHeight="15" customHeight="1"/>
  <cols>
    <col min="1" max="1" width="34" customWidth="1"/>
    <col min="2" max="2" width="18" customWidth="1"/>
    <col min="3" max="26" width="9.140625" customWidth="1"/>
  </cols>
  <sheetData>
    <row r="1" spans="1:2" ht="19.5">
      <c r="A1" s="11" t="s">
        <v>1305</v>
      </c>
    </row>
    <row r="3" spans="1:2">
      <c r="A3" s="13" t="s">
        <v>1306</v>
      </c>
      <c r="B3" s="19">
        <f>COUNTIF(Registro_Accidentes!$D$4:$D$605,"&lt;&gt;")</f>
        <v>0</v>
      </c>
    </row>
    <row r="4" spans="1:2">
      <c r="A4" s="13" t="s">
        <v>1307</v>
      </c>
      <c r="B4" s="19">
        <f>COUNTIF(Registro_Accidentes!$O$4:$O$605,"Sí")</f>
        <v>0</v>
      </c>
    </row>
    <row r="5" spans="1:2">
      <c r="A5" s="13" t="s">
        <v>1308</v>
      </c>
      <c r="B5" s="19">
        <f>COUNTIF(Registro_Accidentes!$Q$4:$Q$605,"No")</f>
        <v>0</v>
      </c>
    </row>
    <row r="6" spans="1:2">
      <c r="A6" s="13" t="s">
        <v>1309</v>
      </c>
      <c r="B6" s="19">
        <f>COUNTIFS(Registro_Accidentes!$D$4:$D$605,"&lt;&gt;",Registro_Accidentes!$L$4:$L$605,"")</f>
        <v>0</v>
      </c>
    </row>
    <row r="7" spans="1:2">
      <c r="A7" s="13" t="s">
        <v>1310</v>
      </c>
      <c r="B7" s="19">
        <f>MAX(Registro_Accidentes!$A$4:$A$605)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5" right="0.75" top="1" bottom="1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1000"/>
  <sheetViews>
    <sheetView showGridLines="0" workbookViewId="0"/>
  </sheetViews>
  <sheetFormatPr baseColWidth="10" defaultColWidth="14.42578125" defaultRowHeight="15" customHeight="1"/>
  <cols>
    <col min="1" max="1" width="22" customWidth="1"/>
    <col min="2" max="2" width="12" customWidth="1"/>
    <col min="3" max="3" width="9.140625" customWidth="1"/>
    <col min="4" max="4" width="22" customWidth="1"/>
    <col min="5" max="5" width="12" customWidth="1"/>
    <col min="6" max="6" width="9.140625" customWidth="1"/>
    <col min="7" max="7" width="28" customWidth="1"/>
    <col min="8" max="8" width="18" customWidth="1"/>
    <col min="9" max="26" width="9.140625" customWidth="1"/>
  </cols>
  <sheetData>
    <row r="1" spans="1:8" ht="19.5">
      <c r="A1" s="11" t="s">
        <v>1311</v>
      </c>
    </row>
    <row r="3" spans="1:8">
      <c r="A3" s="33" t="s">
        <v>1312</v>
      </c>
      <c r="B3" s="34"/>
      <c r="D3" s="33" t="s">
        <v>1313</v>
      </c>
      <c r="E3" s="34"/>
      <c r="G3" s="4" t="s">
        <v>1314</v>
      </c>
      <c r="H3" s="4" t="s">
        <v>1315</v>
      </c>
    </row>
    <row r="4" spans="1:8">
      <c r="A4" s="4" t="s">
        <v>11</v>
      </c>
      <c r="B4" s="4" t="s">
        <v>1316</v>
      </c>
      <c r="D4" s="4" t="s">
        <v>1352</v>
      </c>
      <c r="E4" s="4" t="s">
        <v>1316</v>
      </c>
      <c r="G4" s="13" t="s">
        <v>1353</v>
      </c>
      <c r="H4" s="19" t="str">
        <f>IFERROR(INDEX(A5:A14,MATCH(MAX(B5:B14),B5:B14,0)),"")</f>
        <v>Pre-Kinder</v>
      </c>
    </row>
    <row r="5" spans="1:8">
      <c r="A5" s="7" t="s">
        <v>21</v>
      </c>
      <c r="B5" s="19">
        <f>COUNTIF(Registro_Accidentes!$G$4:$G$605,A5)</f>
        <v>0</v>
      </c>
      <c r="D5" s="7" t="s">
        <v>1266</v>
      </c>
      <c r="E5" s="19">
        <f>COUNTIF(Registro_Accidentes!$M$4:$M$605,D5)</f>
        <v>0</v>
      </c>
      <c r="G5" s="13" t="s">
        <v>1354</v>
      </c>
      <c r="H5" s="19" t="str">
        <f>IFERROR(INDEX(D5:D12,MATCH(MAX(E5:E12),E5:E12,0)),"")</f>
        <v>Golpe</v>
      </c>
    </row>
    <row r="6" spans="1:8">
      <c r="A6" s="7" t="s">
        <v>113</v>
      </c>
      <c r="B6" s="19">
        <f>COUNTIF(Registro_Accidentes!$G$4:$G$605,A6)</f>
        <v>0</v>
      </c>
      <c r="D6" s="7" t="s">
        <v>1269</v>
      </c>
      <c r="E6" s="19">
        <f>COUNTIF(Registro_Accidentes!$M$4:$M$605,D6)</f>
        <v>0</v>
      </c>
      <c r="G6" s="13" t="s">
        <v>1317</v>
      </c>
      <c r="H6" s="19">
        <f>COUNTIF(Registro_Accidentes!$D$4:$D$605,"&lt;&gt;")</f>
        <v>0</v>
      </c>
    </row>
    <row r="7" spans="1:8">
      <c r="A7" s="7" t="s">
        <v>217</v>
      </c>
      <c r="B7" s="19">
        <f>COUNTIF(Registro_Accidentes!$G$4:$G$605,A7)</f>
        <v>0</v>
      </c>
      <c r="D7" s="7" t="s">
        <v>1355</v>
      </c>
      <c r="E7" s="19">
        <f>COUNTIF(Registro_Accidentes!$M$4:$M$605,D7)</f>
        <v>0</v>
      </c>
    </row>
    <row r="8" spans="1:8">
      <c r="A8" s="7" t="s">
        <v>335</v>
      </c>
      <c r="B8" s="19">
        <f>COUNTIF(Registro_Accidentes!$G$4:$G$605,A8)</f>
        <v>0</v>
      </c>
      <c r="D8" s="7" t="s">
        <v>1274</v>
      </c>
      <c r="E8" s="19">
        <f>COUNTIF(Registro_Accidentes!$M$4:$M$605,D8)</f>
        <v>0</v>
      </c>
    </row>
    <row r="9" spans="1:8">
      <c r="A9" s="7" t="s">
        <v>454</v>
      </c>
      <c r="B9" s="19">
        <f>COUNTIF(Registro_Accidentes!$G$4:$G$605,A9)</f>
        <v>0</v>
      </c>
      <c r="D9" s="7" t="s">
        <v>1276</v>
      </c>
      <c r="E9" s="19">
        <f>COUNTIF(Registro_Accidentes!$M$4:$M$605,D9)</f>
        <v>0</v>
      </c>
    </row>
    <row r="10" spans="1:8">
      <c r="A10" s="7" t="s">
        <v>602</v>
      </c>
      <c r="B10" s="19">
        <f>COUNTIF(Registro_Accidentes!$G$4:$G$605,A10)</f>
        <v>0</v>
      </c>
      <c r="D10" s="7" t="s">
        <v>1278</v>
      </c>
      <c r="E10" s="19">
        <f>COUNTIF(Registro_Accidentes!$M$4:$M$605,D10)</f>
        <v>0</v>
      </c>
    </row>
    <row r="11" spans="1:8">
      <c r="A11" s="7" t="s">
        <v>732</v>
      </c>
      <c r="B11" s="19">
        <f>COUNTIF(Registro_Accidentes!$G$4:$G$605,A11)</f>
        <v>0</v>
      </c>
      <c r="D11" s="7" t="s">
        <v>1280</v>
      </c>
      <c r="E11" s="19">
        <f>COUNTIF(Registro_Accidentes!$M$4:$M$605,D11)</f>
        <v>0</v>
      </c>
    </row>
    <row r="12" spans="1:8">
      <c r="A12" s="7" t="s">
        <v>869</v>
      </c>
      <c r="B12" s="19">
        <f>COUNTIF(Registro_Accidentes!$G$4:$G$605,A12)</f>
        <v>0</v>
      </c>
      <c r="D12" s="7" t="s">
        <v>1282</v>
      </c>
      <c r="E12" s="19">
        <f>COUNTIF(Registro_Accidentes!$M$4:$M$605,D12)</f>
        <v>0</v>
      </c>
    </row>
    <row r="13" spans="1:8">
      <c r="A13" s="7" t="s">
        <v>1014</v>
      </c>
      <c r="B13" s="19">
        <f>COUNTIF(Registro_Accidentes!$G$4:$G$605,A13)</f>
        <v>0</v>
      </c>
    </row>
    <row r="14" spans="1:8">
      <c r="A14" s="7" t="s">
        <v>1141</v>
      </c>
      <c r="B14" s="19">
        <f>COUNTIF(Registro_Accidentes!$G$4:$G$605,A14)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3:B3"/>
    <mergeCell ref="D3:E3"/>
  </mergeCells>
  <pageMargins left="0.75" right="0.75" top="1" bottom="1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000"/>
  <sheetViews>
    <sheetView showGridLines="0" workbookViewId="0"/>
  </sheetViews>
  <sheetFormatPr baseColWidth="10" defaultColWidth="14.42578125" defaultRowHeight="15" customHeight="1"/>
  <cols>
    <col min="1" max="1" width="20" customWidth="1"/>
    <col min="2" max="6" width="18" customWidth="1"/>
    <col min="7" max="26" width="9.140625" customWidth="1"/>
  </cols>
  <sheetData>
    <row r="1" spans="1:6">
      <c r="A1" s="40" t="s">
        <v>1318</v>
      </c>
      <c r="B1" s="41"/>
      <c r="C1" s="41"/>
      <c r="D1" s="41"/>
      <c r="E1" s="41"/>
      <c r="F1" s="42"/>
    </row>
    <row r="2" spans="1:6">
      <c r="A2" s="43"/>
      <c r="B2" s="44"/>
      <c r="C2" s="44"/>
      <c r="D2" s="44"/>
      <c r="E2" s="44"/>
      <c r="F2" s="45"/>
    </row>
    <row r="4" spans="1:6">
      <c r="A4" s="13" t="s">
        <v>1319</v>
      </c>
      <c r="B4" s="5">
        <v>3</v>
      </c>
      <c r="D4" s="13" t="s">
        <v>1286</v>
      </c>
      <c r="E4" s="21" t="str">
        <f t="array" ref="E4">IFERROR(INDEX(Registro_Accidentes!$B$4:$B$605,MATCH($B$4,Registro_Accidentes!$A$4:$A$605,0)),"")</f>
        <v/>
      </c>
    </row>
    <row r="5" spans="1:6">
      <c r="A5" s="13" t="s">
        <v>1287</v>
      </c>
      <c r="B5" s="22" t="str">
        <f t="array" ref="B5">IFERROR(INDEX(Registro_Accidentes!$C$4:$C$605,MATCH($B$4,Registro_Accidentes!$A$4:$A$605,0)),"")</f>
        <v/>
      </c>
      <c r="D5" s="13" t="s">
        <v>10</v>
      </c>
      <c r="E5" s="19" t="str">
        <f t="array" ref="E5">IFERROR(INDEX(Registro_Accidentes!$D$4:$D$605,MATCH($B$4,Registro_Accidentes!$A$4:$A$605,0)),"")</f>
        <v/>
      </c>
    </row>
    <row r="7" spans="1:6">
      <c r="A7" s="13" t="s">
        <v>8</v>
      </c>
      <c r="B7" s="46" t="str">
        <f t="array" ref="B7">IFERROR(INDEX(Registro_Accidentes!$E$4:$E$605,MATCH($B$4,Registro_Accidentes!$A$4:$A$605,0)),"")</f>
        <v/>
      </c>
      <c r="C7" s="36"/>
      <c r="D7" s="36"/>
      <c r="E7" s="36"/>
      <c r="F7" s="37"/>
    </row>
    <row r="8" spans="1:6">
      <c r="A8" s="13" t="s">
        <v>1289</v>
      </c>
      <c r="B8" s="46" t="str">
        <f t="array" ref="B8">IFERROR(INDEX(Registro_Accidentes!$F$4:$F$605,MATCH($B$4,Registro_Accidentes!$A$4:$A$605,0)),"")</f>
        <v/>
      </c>
      <c r="C8" s="36"/>
      <c r="D8" s="36"/>
      <c r="E8" s="36"/>
      <c r="F8" s="37"/>
    </row>
    <row r="9" spans="1:6">
      <c r="A9" s="13" t="s">
        <v>11</v>
      </c>
      <c r="B9" s="46" t="str">
        <f t="array" ref="B9">IFERROR(INDEX(Registro_Accidentes!$G$4:$G$605,MATCH($B$4,Registro_Accidentes!$A$4:$A$605,0)),"")</f>
        <v/>
      </c>
      <c r="C9" s="36"/>
      <c r="D9" s="36"/>
      <c r="E9" s="36"/>
      <c r="F9" s="37"/>
    </row>
    <row r="10" spans="1:6">
      <c r="A10" s="13" t="s">
        <v>13</v>
      </c>
      <c r="B10" s="35" t="str">
        <f t="array" ref="B10">IFERROR(INDEX(Registro_Accidentes!$H$4:$H$605,MATCH($B$4,Registro_Accidentes!$A$4:$A$605,0)),"")</f>
        <v/>
      </c>
      <c r="C10" s="36"/>
      <c r="D10" s="36"/>
      <c r="E10" s="36"/>
      <c r="F10" s="37"/>
    </row>
    <row r="11" spans="1:6">
      <c r="A11" s="13" t="s">
        <v>14</v>
      </c>
      <c r="B11" s="35" t="str">
        <f t="array" ref="B11">IFERROR(INDEX(Registro_Accidentes!$I$4:$I$605,MATCH($B$4,Registro_Accidentes!$A$4:$A$605,0)),"")</f>
        <v/>
      </c>
      <c r="C11" s="36"/>
      <c r="D11" s="36"/>
      <c r="E11" s="36"/>
      <c r="F11" s="37"/>
    </row>
    <row r="12" spans="1:6">
      <c r="A12" s="13" t="s">
        <v>15</v>
      </c>
      <c r="B12" s="35" t="str">
        <f t="array" ref="B12">IFERROR(INDEX(Registro_Accidentes!$J$4:$J$605,MATCH($B$4,Registro_Accidentes!$A$4:$A$605,0)),"")</f>
        <v/>
      </c>
      <c r="C12" s="36"/>
      <c r="D12" s="36"/>
      <c r="E12" s="36"/>
      <c r="F12" s="37"/>
    </row>
    <row r="14" spans="1:6">
      <c r="A14" s="13" t="s">
        <v>1290</v>
      </c>
      <c r="B14" s="39" t="str">
        <f t="array" ref="B14">IFERROR(INDEX(Registro_Accidentes!$K$4:$K$605,MATCH($B$4,Registro_Accidentes!$A$4:$A$605,0)),"")</f>
        <v/>
      </c>
      <c r="C14" s="36"/>
      <c r="D14" s="36"/>
      <c r="E14" s="36"/>
      <c r="F14" s="37"/>
    </row>
    <row r="15" spans="1:6">
      <c r="A15" s="13" t="s">
        <v>1291</v>
      </c>
      <c r="B15" s="39" t="str">
        <f t="array" ref="B15">IFERROR(INDEX(Registro_Accidentes!$L$4:$L$605,MATCH($B$4,Registro_Accidentes!$A$4:$A$605,0)),"")</f>
        <v/>
      </c>
      <c r="C15" s="36"/>
      <c r="D15" s="36"/>
      <c r="E15" s="36"/>
      <c r="F15" s="37"/>
    </row>
    <row r="17" spans="1:6">
      <c r="A17" s="13" t="s">
        <v>1292</v>
      </c>
      <c r="B17" s="39" t="str">
        <f t="array" ref="B17">IFERROR(INDEX(Registro_Accidentes!$M$4:$M$605,MATCH($B$4,Registro_Accidentes!$A$4:$A$605,0)),"")</f>
        <v/>
      </c>
      <c r="C17" s="36"/>
      <c r="D17" s="36"/>
      <c r="E17" s="36"/>
      <c r="F17" s="37"/>
    </row>
    <row r="18" spans="1:6">
      <c r="A18" s="13" t="s">
        <v>1303</v>
      </c>
      <c r="B18" s="39" t="str">
        <f t="array" ref="B18">IFERROR(INDEX(Registro_Accidentes!$N$4:$N$605,MATCH($B$4,Registro_Accidentes!$A$4:$A$605,0)),"")</f>
        <v/>
      </c>
      <c r="C18" s="36"/>
      <c r="D18" s="36"/>
      <c r="E18" s="36"/>
      <c r="F18" s="37"/>
    </row>
    <row r="20" spans="1:6">
      <c r="A20" s="13" t="s">
        <v>1294</v>
      </c>
      <c r="B20" s="39" t="str">
        <f t="array" ref="B20">IFERROR(INDEX(Registro_Accidentes!$O$4:$O$605,MATCH($B$4,Registro_Accidentes!$A$4:$A$605,0)),"")</f>
        <v/>
      </c>
      <c r="C20" s="36"/>
      <c r="D20" s="36"/>
      <c r="E20" s="36"/>
      <c r="F20" s="37"/>
    </row>
    <row r="21" spans="1:6" ht="15.75" customHeight="1">
      <c r="A21" s="13" t="s">
        <v>1295</v>
      </c>
      <c r="B21" s="39" t="str">
        <f t="array" ref="B21">IFERROR(INDEX(Registro_Accidentes!$P$4:$P$605,MATCH($B$4,Registro_Accidentes!$A$4:$A$605,0)),"")</f>
        <v/>
      </c>
      <c r="C21" s="36"/>
      <c r="D21" s="36"/>
      <c r="E21" s="36"/>
      <c r="F21" s="37"/>
    </row>
    <row r="22" spans="1:6" ht="15.75" customHeight="1"/>
    <row r="23" spans="1:6" ht="15.75" customHeight="1">
      <c r="A23" s="13" t="s">
        <v>1296</v>
      </c>
      <c r="B23" s="39" t="str">
        <f t="array" ref="B23">IFERROR(INDEX(Registro_Accidentes!$Q$4:$Q$605,MATCH($B$4,Registro_Accidentes!$A$4:$A$605,0)),"")</f>
        <v/>
      </c>
      <c r="C23" s="36"/>
      <c r="D23" s="36"/>
      <c r="E23" s="36"/>
      <c r="F23" s="37"/>
    </row>
    <row r="24" spans="1:6" ht="15.75" customHeight="1">
      <c r="A24" s="13" t="s">
        <v>1297</v>
      </c>
      <c r="B24" s="38" t="str">
        <f t="array" ref="B24">IFERROR(INDEX(Registro_Accidentes!$R$4:$R$605,MATCH($B$4,Registro_Accidentes!$A$4:$A$605,0)),"")</f>
        <v/>
      </c>
      <c r="C24" s="36"/>
      <c r="D24" s="36"/>
      <c r="E24" s="36"/>
      <c r="F24" s="37"/>
    </row>
    <row r="25" spans="1:6" ht="15.75" customHeight="1"/>
    <row r="26" spans="1:6" ht="15.75" customHeight="1">
      <c r="A26" s="13" t="s">
        <v>1298</v>
      </c>
      <c r="B26" s="39" t="str">
        <f t="array" ref="B26">IFERROR(INDEX(Registro_Accidentes!$S$4:$S$605,MATCH($B$4,Registro_Accidentes!$A$4:$A$605,0)),"")</f>
        <v/>
      </c>
      <c r="C26" s="36"/>
      <c r="D26" s="36"/>
      <c r="E26" s="36"/>
      <c r="F26" s="37"/>
    </row>
    <row r="27" spans="1:6" ht="15.75" customHeight="1">
      <c r="A27" s="13" t="s">
        <v>17</v>
      </c>
      <c r="B27" s="39" t="str">
        <f t="array" ref="B27">IFERROR(INDEX(Registro_Accidentes!$T$4:$T$605,MATCH($B$4,Registro_Accidentes!$A$4:$A$605,0)),"")</f>
        <v/>
      </c>
      <c r="C27" s="36"/>
      <c r="D27" s="36"/>
      <c r="E27" s="36"/>
      <c r="F27" s="37"/>
    </row>
    <row r="28" spans="1:6" ht="15.75" customHeight="1"/>
    <row r="29" spans="1:6" ht="15.75" customHeight="1"/>
    <row r="30" spans="1:6" ht="15.75" customHeight="1"/>
    <row r="31" spans="1:6" ht="15.75" customHeight="1"/>
    <row r="32" spans="1: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F2"/>
    <mergeCell ref="B7:F7"/>
    <mergeCell ref="B8:F8"/>
    <mergeCell ref="B9:F9"/>
    <mergeCell ref="B10:F10"/>
    <mergeCell ref="B11:F11"/>
    <mergeCell ref="B12:F12"/>
    <mergeCell ref="B24:F24"/>
    <mergeCell ref="B26:F26"/>
    <mergeCell ref="B27:F27"/>
    <mergeCell ref="B14:F14"/>
    <mergeCell ref="B15:F15"/>
    <mergeCell ref="B17:F17"/>
    <mergeCell ref="B18:F18"/>
    <mergeCell ref="B20:F20"/>
    <mergeCell ref="B21:F21"/>
    <mergeCell ref="B23:F23"/>
  </mergeCells>
  <pageMargins left="0.3" right="0.3" top="0.5" bottom="0.5" header="0" footer="0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1000"/>
  <sheetViews>
    <sheetView showGridLines="0" workbookViewId="0"/>
  </sheetViews>
  <sheetFormatPr baseColWidth="10" defaultColWidth="14.42578125" defaultRowHeight="15" customHeight="1"/>
  <cols>
    <col min="1" max="1" width="110" customWidth="1"/>
    <col min="2" max="26" width="9.140625" customWidth="1"/>
  </cols>
  <sheetData>
    <row r="1" spans="1:1" ht="18.75">
      <c r="A1" s="3" t="s">
        <v>1320</v>
      </c>
    </row>
    <row r="2" spans="1:1">
      <c r="A2" s="10" t="s">
        <v>1321</v>
      </c>
    </row>
    <row r="4" spans="1:1">
      <c r="A4" s="23" t="s">
        <v>1322</v>
      </c>
    </row>
    <row r="5" spans="1:1">
      <c r="A5" s="23"/>
    </row>
    <row r="6" spans="1:1">
      <c r="A6" s="23" t="s">
        <v>1323</v>
      </c>
    </row>
    <row r="7" spans="1:1">
      <c r="A7" s="23" t="s">
        <v>1324</v>
      </c>
    </row>
    <row r="8" spans="1:1">
      <c r="A8" s="23" t="s">
        <v>1325</v>
      </c>
    </row>
    <row r="9" spans="1:1">
      <c r="A9" s="23"/>
    </row>
    <row r="10" spans="1:1">
      <c r="A10" s="23" t="s">
        <v>1326</v>
      </c>
    </row>
    <row r="11" spans="1:1">
      <c r="A11" s="23" t="s">
        <v>1327</v>
      </c>
    </row>
    <row r="12" spans="1:1">
      <c r="A12" s="23"/>
    </row>
    <row r="13" spans="1:1">
      <c r="A13" s="23" t="s">
        <v>1328</v>
      </c>
    </row>
    <row r="14" spans="1:1">
      <c r="A14" s="23" t="s">
        <v>1329</v>
      </c>
    </row>
    <row r="15" spans="1:1">
      <c r="A15" s="23" t="s">
        <v>1330</v>
      </c>
    </row>
    <row r="16" spans="1:1">
      <c r="A16" s="23" t="s">
        <v>1331</v>
      </c>
    </row>
    <row r="17" spans="1:1">
      <c r="A17" s="23"/>
    </row>
    <row r="18" spans="1:1">
      <c r="A18" s="23" t="s">
        <v>1332</v>
      </c>
    </row>
    <row r="19" spans="1:1">
      <c r="A19" s="23" t="s">
        <v>1333</v>
      </c>
    </row>
    <row r="20" spans="1:1">
      <c r="A20" s="23"/>
    </row>
    <row r="21" spans="1:1" ht="15.75" customHeight="1">
      <c r="A21" s="23" t="s">
        <v>1334</v>
      </c>
    </row>
    <row r="22" spans="1:1" ht="15.75" customHeight="1">
      <c r="A22" s="23" t="s">
        <v>1335</v>
      </c>
    </row>
    <row r="23" spans="1:1" ht="15.75" customHeight="1">
      <c r="A23" s="23" t="s">
        <v>1336</v>
      </c>
    </row>
    <row r="24" spans="1:1" ht="15.75" customHeight="1">
      <c r="A24" s="23" t="s">
        <v>1337</v>
      </c>
    </row>
    <row r="25" spans="1:1" ht="15.75" customHeight="1">
      <c r="A25" s="23" t="s">
        <v>1338</v>
      </c>
    </row>
    <row r="26" spans="1:1" ht="15.75" customHeight="1">
      <c r="A26" s="23" t="s">
        <v>1339</v>
      </c>
    </row>
    <row r="27" spans="1:1" ht="15.75" customHeight="1">
      <c r="A27" s="23" t="s">
        <v>1340</v>
      </c>
    </row>
    <row r="28" spans="1:1" ht="15.75" customHeight="1">
      <c r="A28" s="23" t="s">
        <v>1341</v>
      </c>
    </row>
    <row r="29" spans="1:1" ht="15.75" customHeight="1">
      <c r="A29" s="23" t="s">
        <v>1342</v>
      </c>
    </row>
    <row r="30" spans="1:1" ht="15.75" customHeight="1">
      <c r="A30" s="23" t="s">
        <v>1343</v>
      </c>
    </row>
    <row r="31" spans="1:1" ht="15.75" customHeight="1">
      <c r="A31" s="23" t="s">
        <v>1344</v>
      </c>
    </row>
    <row r="32" spans="1:1" ht="15.75" customHeight="1">
      <c r="A32" s="23" t="s">
        <v>1345</v>
      </c>
    </row>
    <row r="33" spans="1:1" ht="15.75" customHeight="1">
      <c r="A33" s="23" t="s">
        <v>1346</v>
      </c>
    </row>
    <row r="34" spans="1:1" ht="15.75" customHeight="1">
      <c r="A34" s="23"/>
    </row>
    <row r="35" spans="1:1" ht="15.75" customHeight="1">
      <c r="A35" s="23" t="s">
        <v>1347</v>
      </c>
    </row>
    <row r="36" spans="1:1" ht="15.75" customHeight="1">
      <c r="A36" s="23" t="s">
        <v>1348</v>
      </c>
    </row>
    <row r="37" spans="1:1" ht="15.75" customHeight="1">
      <c r="A37" s="23" t="s">
        <v>1349</v>
      </c>
    </row>
    <row r="38" spans="1:1" ht="15.75" customHeight="1">
      <c r="A38" s="23"/>
    </row>
    <row r="39" spans="1:1" ht="15.75" customHeight="1">
      <c r="A39" s="23" t="s">
        <v>1350</v>
      </c>
    </row>
    <row r="40" spans="1:1" ht="15.75" customHeight="1">
      <c r="A40" s="23" t="s">
        <v>1351</v>
      </c>
    </row>
    <row r="41" spans="1:1" ht="15.75" customHeight="1"/>
    <row r="42" spans="1:1" ht="15.75" customHeight="1"/>
    <row r="43" spans="1:1" ht="15.75" customHeight="1"/>
    <row r="44" spans="1:1" ht="15.75" customHeight="1"/>
    <row r="45" spans="1:1" ht="15.75" customHeight="1"/>
    <row r="46" spans="1:1" ht="15.75" customHeight="1"/>
    <row r="47" spans="1:1" ht="15.75" customHeight="1"/>
    <row r="48" spans="1:1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5" right="0.75" top="1" bottom="1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4</vt:i4>
      </vt:variant>
    </vt:vector>
  </HeadingPairs>
  <TitlesOfParts>
    <vt:vector size="13" baseType="lpstr">
      <vt:lpstr>Instrucciones</vt:lpstr>
      <vt:lpstr>Base_Estudiantes</vt:lpstr>
      <vt:lpstr>Listas</vt:lpstr>
      <vt:lpstr>Formulario</vt:lpstr>
      <vt:lpstr>Registro_Accidentes</vt:lpstr>
      <vt:lpstr>Resumen</vt:lpstr>
      <vt:lpstr>Estadísticas</vt:lpstr>
      <vt:lpstr>Ficha_Imprimible</vt:lpstr>
      <vt:lpstr>Macro_VBA</vt:lpstr>
      <vt:lpstr>ListaLesiones</vt:lpstr>
      <vt:lpstr>ListaLugares</vt:lpstr>
      <vt:lpstr>ListaRUTs</vt:lpstr>
      <vt:lpstr>ListaSiNo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Felipe</cp:lastModifiedBy>
  <dcterms:created xsi:type="dcterms:W3CDTF">2026-03-06T15:59:27Z</dcterms:created>
  <dcterms:modified xsi:type="dcterms:W3CDTF">2026-03-20T20:02:35Z</dcterms:modified>
</cp:coreProperties>
</file>